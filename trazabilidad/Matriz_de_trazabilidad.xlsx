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44800" windowHeight="22860" tabRatio="600" firstSheet="0" activeTab="5" autoFilterDateGrouping="1"/>
  </bookViews>
  <sheets>
    <sheet name="📖 Instrucciones" sheetId="1" state="visible" r:id="rId1"/>
    <sheet name="📋 Matriz principal" sheetId="2" state="visible" r:id="rId2"/>
    <sheet name="🔗 Trazabilidad visual" sheetId="3" state="visible" r:id="rId3"/>
    <sheet name="📊 Resumen y métricas" sheetId="4" state="visible" r:id="rId4"/>
    <sheet name="🔎 Auditoría" sheetId="5" state="visible" r:id="rId5"/>
    <sheet name="📝 Registro de RFCs" sheetId="6" state="visible" r:id="rId6"/>
    <sheet name="🗂️ Catálogo de artefactos" sheetId="7" state="visible" r:id="rId7"/>
  </sheets>
  <definedNames/>
  <calcPr calcId="191028" fullCalcOnLoad="1"/>
</workbook>
</file>

<file path=xl/styles.xml><?xml version="1.0" encoding="utf-8"?>
<styleSheet xmlns="http://schemas.openxmlformats.org/spreadsheetml/2006/main">
  <numFmts count="0"/>
  <fonts count="44">
    <font>
      <name val="Roboto"/>
      <family val="2"/>
      <color theme="1"/>
      <sz val="11"/>
      <scheme val="minor"/>
    </font>
    <font>
      <name val="Arial"/>
      <family val="2"/>
      <b val="1"/>
      <color rgb="FFFFFFFF"/>
      <sz val="18"/>
    </font>
    <font>
      <name val="Arial"/>
      <family val="2"/>
      <b val="1"/>
      <color rgb="FF1A1A1A"/>
      <sz val="11"/>
    </font>
    <font>
      <name val="Arial"/>
      <family val="2"/>
      <color rgb="FF1A1A1A"/>
      <sz val="9"/>
    </font>
    <font>
      <name val="Arial"/>
      <family val="2"/>
      <b val="1"/>
      <color rgb="FF993556"/>
      <sz val="9"/>
    </font>
    <font>
      <name val="Arial"/>
      <family val="2"/>
      <b val="1"/>
      <color rgb="FF27500A"/>
      <sz val="9"/>
    </font>
    <font>
      <name val="Arial"/>
      <family val="2"/>
      <color rgb="FF555555"/>
      <sz val="9"/>
    </font>
    <font>
      <name val="Arial"/>
      <family val="2"/>
      <b val="1"/>
      <color rgb="FF633806"/>
      <sz val="9"/>
    </font>
    <font>
      <name val="Arial"/>
      <family val="2"/>
      <b val="1"/>
      <color rgb="FF791F1F"/>
      <sz val="9"/>
    </font>
    <font>
      <name val="Arial"/>
      <family val="2"/>
      <b val="1"/>
      <color rgb="FF0C447C"/>
      <sz val="9"/>
    </font>
    <font>
      <name val="Arial"/>
      <family val="2"/>
      <b val="1"/>
      <color rgb="FF3C3489"/>
      <sz val="9"/>
    </font>
    <font>
      <name val="Arial"/>
      <family val="2"/>
      <b val="1"/>
      <color rgb="FF888780"/>
      <sz val="9"/>
    </font>
    <font>
      <name val="Arial"/>
      <family val="2"/>
      <b val="1"/>
      <color rgb="FFFFFFFF"/>
      <sz val="14"/>
    </font>
    <font>
      <name val="Arial"/>
      <family val="2"/>
      <b val="1"/>
      <color rgb="FFFFFFFF"/>
      <sz val="9"/>
    </font>
    <font>
      <name val="Arial"/>
      <family val="2"/>
      <b val="1"/>
      <color rgb="FF1A1A1A"/>
      <sz val="9"/>
    </font>
    <font>
      <name val="Arial"/>
      <family val="2"/>
      <b val="1"/>
      <color rgb="FFFFFFFF"/>
      <sz val="8"/>
    </font>
    <font>
      <name val="Arial"/>
      <family val="2"/>
      <b val="1"/>
      <color rgb="FF27500A"/>
      <sz val="10"/>
    </font>
    <font>
      <name val="Arial"/>
      <family val="2"/>
      <i val="1"/>
      <color rgb="FFD4537E"/>
      <sz val="9"/>
    </font>
    <font>
      <name val="Arial"/>
      <family val="2"/>
      <color rgb="FFFFFFFF"/>
      <sz val="9"/>
    </font>
    <font>
      <name val="Arial"/>
      <family val="2"/>
      <b val="1"/>
      <color rgb="FFFFFFFF"/>
      <sz val="22"/>
    </font>
    <font>
      <name val="Arial"/>
      <family val="2"/>
      <b val="1"/>
      <color rgb="FFFFFFFF"/>
      <sz val="10"/>
    </font>
    <font>
      <name val="Arial"/>
      <family val="2"/>
      <b val="1"/>
      <color rgb="FF0C447C"/>
      <sz val="8"/>
    </font>
    <font>
      <name val="Arial"/>
      <family val="2"/>
      <b val="1"/>
      <color rgb="FF0C447C"/>
      <sz val="16"/>
    </font>
    <font>
      <name val="Arial"/>
      <family val="2"/>
      <b val="1"/>
      <color rgb="FF085041"/>
      <sz val="8"/>
    </font>
    <font>
      <name val="Arial"/>
      <family val="2"/>
      <b val="1"/>
      <color rgb="FF085041"/>
      <sz val="16"/>
    </font>
    <font>
      <name val="Arial"/>
      <family val="2"/>
      <b val="1"/>
      <color rgb="FF633806"/>
      <sz val="8"/>
    </font>
    <font>
      <name val="Arial"/>
      <family val="2"/>
      <b val="1"/>
      <color rgb="FF633806"/>
      <sz val="16"/>
    </font>
    <font>
      <name val="Arial"/>
      <family val="2"/>
      <b val="1"/>
      <color rgb="FF27500A"/>
      <sz val="8"/>
    </font>
    <font>
      <name val="Arial"/>
      <family val="2"/>
      <b val="1"/>
      <color rgb="FF27500A"/>
      <sz val="16"/>
    </font>
    <font>
      <name val="Arial"/>
      <family val="2"/>
      <b val="1"/>
      <color rgb="FF3C3489"/>
      <sz val="8"/>
    </font>
    <font>
      <name val="Arial"/>
      <family val="2"/>
      <b val="1"/>
      <color rgb="FF3C3489"/>
      <sz val="16"/>
    </font>
    <font>
      <name val="Arial"/>
      <family val="2"/>
      <b val="1"/>
      <color rgb="FF791F1F"/>
      <sz val="8"/>
    </font>
    <font>
      <name val="Arial"/>
      <family val="2"/>
      <b val="1"/>
      <color rgb="FF791F1F"/>
      <sz val="16"/>
    </font>
    <font>
      <name val="Arial"/>
      <family val="2"/>
      <b val="1"/>
      <color rgb="FF888780"/>
      <sz val="8"/>
    </font>
    <font>
      <name val="Arial"/>
      <family val="2"/>
      <b val="1"/>
      <color rgb="FF888780"/>
      <sz val="16"/>
    </font>
    <font>
      <name val="Arial"/>
      <family val="2"/>
      <b val="1"/>
      <color rgb="FF791F1F"/>
      <sz val="18"/>
    </font>
    <font>
      <name val="Arial"/>
      <family val="2"/>
      <b val="1"/>
      <color rgb="FF633806"/>
      <sz val="18"/>
    </font>
    <font>
      <name val="Arial"/>
      <family val="2"/>
      <b val="1"/>
      <color rgb="FF0C447C"/>
      <sz val="18"/>
    </font>
    <font>
      <name val="Arial"/>
      <family val="2"/>
      <b val="1"/>
      <color rgb="FF888780"/>
      <sz val="18"/>
    </font>
    <font>
      <name val="Arial"/>
      <family val="2"/>
      <i val="1"/>
      <color rgb="FF791F1F"/>
      <sz val="9"/>
    </font>
    <font>
      <name val="Arial"/>
      <family val="2"/>
      <b val="1"/>
      <color rgb="FF085041"/>
      <sz val="9"/>
    </font>
    <font>
      <name val="Arial"/>
      <family val="2"/>
      <b val="1"/>
      <color theme="9" tint="-0.499984740745262"/>
      <sz val="9"/>
    </font>
    <font>
      <name val="Roboto"/>
      <family val="2"/>
      <color theme="9" tint="-0.499984740745262"/>
      <sz val="11"/>
      <scheme val="minor"/>
    </font>
    <font>
      <name val="Arial"/>
      <family val="2"/>
      <i val="1"/>
      <color theme="9" tint="-0.499984740745262"/>
      <sz val="10"/>
    </font>
  </fonts>
  <fills count="20">
    <fill>
      <patternFill/>
    </fill>
    <fill>
      <patternFill patternType="gray125"/>
    </fill>
    <fill>
      <patternFill patternType="solid">
        <fgColor rgb="FFFBEAF0"/>
      </patternFill>
    </fill>
    <fill>
      <patternFill patternType="solid">
        <fgColor rgb="FFF5F4F2"/>
      </patternFill>
    </fill>
    <fill>
      <patternFill patternType="solid">
        <fgColor rgb="FFFFFFFF"/>
      </patternFill>
    </fill>
    <fill>
      <patternFill patternType="solid">
        <fgColor rgb="FFEAF3DE"/>
      </patternFill>
    </fill>
    <fill>
      <patternFill patternType="solid">
        <fgColor rgb="FFFAEEDA"/>
      </patternFill>
    </fill>
    <fill>
      <patternFill patternType="solid">
        <fgColor rgb="FFFCEBEB"/>
      </patternFill>
    </fill>
    <fill>
      <patternFill patternType="solid">
        <fgColor rgb="FFE6F1FB"/>
      </patternFill>
    </fill>
    <fill>
      <patternFill patternType="solid">
        <fgColor rgb="FFEEEDFE"/>
      </patternFill>
    </fill>
    <fill>
      <patternFill patternType="solid">
        <fgColor rgb="FFFDF5F8"/>
      </patternFill>
    </fill>
    <fill>
      <patternFill patternType="solid">
        <fgColor rgb="FFBA7517"/>
      </patternFill>
    </fill>
    <fill>
      <patternFill patternType="solid">
        <fgColor rgb="FF185FA5"/>
      </patternFill>
    </fill>
    <fill>
      <patternFill patternType="solid">
        <fgColor rgb="FF1D9E75"/>
      </patternFill>
    </fill>
    <fill>
      <patternFill patternType="solid">
        <fgColor rgb="FF3B6D11"/>
      </patternFill>
    </fill>
    <fill>
      <patternFill patternType="solid">
        <fgColor rgb="FF7F77DD"/>
      </patternFill>
    </fill>
    <fill>
      <patternFill patternType="solid">
        <fgColor rgb="FFA32D2D"/>
      </patternFill>
    </fill>
    <fill>
      <patternFill patternType="solid">
        <fgColor rgb="FFE1F5EE"/>
      </patternFill>
    </fill>
    <fill>
      <patternFill patternType="solid">
        <fgColor theme="9" tint="-0.499984740745262"/>
        <bgColor indexed="64"/>
      </patternFill>
    </fill>
    <fill>
      <patternFill patternType="solid">
        <fgColor theme="9" tint="0.7999816888943144"/>
        <bgColor indexed="64"/>
      </patternFill>
    </fill>
  </fills>
  <borders count="72">
    <border>
      <left/>
      <right/>
      <top/>
      <bottom/>
      <diagonal/>
    </border>
    <border>
      <left style="thin">
        <color rgb="FFDDDDDD"/>
      </left>
      <right style="thin">
        <color rgb="FFDDDDDD"/>
      </right>
      <top style="thin">
        <color rgb="FFDDDDDD"/>
      </top>
      <bottom style="thin">
        <color rgb="FFDDDDDD"/>
      </bottom>
      <diagonal/>
    </border>
    <border>
      <left style="thin">
        <color rgb="FFDDCCCC"/>
      </left>
      <right style="thin">
        <color rgb="FFDDCCCC"/>
      </right>
      <top style="thin">
        <color rgb="FFDDCCCC"/>
      </top>
      <bottom style="thin">
        <color rgb="FFDDCCCC"/>
      </bottom>
      <diagonal/>
    </border>
    <border>
      <left style="thin">
        <color rgb="FFBA7517"/>
      </left>
      <right style="thin">
        <color rgb="FFBA7517"/>
      </right>
      <top style="thin">
        <color rgb="FFBA7517"/>
      </top>
      <bottom style="thin">
        <color rgb="FFBA7517"/>
      </bottom>
      <diagonal/>
    </border>
    <border>
      <left style="thin">
        <color rgb="FF1D9E75"/>
      </left>
      <right style="thin">
        <color rgb="FF1D9E75"/>
      </right>
      <top style="thin">
        <color rgb="FF1D9E75"/>
      </top>
      <bottom style="thin">
        <color rgb="FF1D9E75"/>
      </bottom>
      <diagonal/>
    </border>
    <border>
      <left style="thin">
        <color rgb="FF3B6D11"/>
      </left>
      <right style="thin">
        <color rgb="FF3B6D11"/>
      </right>
      <top style="thin">
        <color rgb="FF3B6D11"/>
      </top>
      <bottom style="thin">
        <color rgb="FF3B6D11"/>
      </bottom>
      <diagonal/>
    </border>
    <border>
      <left style="thin">
        <color rgb="FF7F77DD"/>
      </left>
      <right style="thin">
        <color rgb="FF7F77DD"/>
      </right>
      <top style="thin">
        <color rgb="FF7F77DD"/>
      </top>
      <bottom style="thin">
        <color rgb="FF7F77DD"/>
      </bottom>
      <diagonal/>
    </border>
    <border>
      <left style="thin">
        <color rgb="FFFFFFFF"/>
      </left>
      <right style="thin">
        <color rgb="FFFFFFFF"/>
      </right>
      <top style="thin">
        <color rgb="FFFFFFFF"/>
      </top>
      <bottom style="thin">
        <color rgb="FFFFFFFF"/>
      </bottom>
      <diagonal/>
    </border>
    <border>
      <left style="thin">
        <color rgb="FFA32D2D"/>
      </left>
      <right style="thin">
        <color rgb="FFA32D2D"/>
      </right>
      <top style="thin">
        <color rgb="FFA32D2D"/>
      </top>
      <bottom style="thin">
        <color rgb="FFA32D2D"/>
      </bottom>
      <diagonal/>
    </border>
    <border>
      <left/>
      <right/>
      <top/>
      <bottom style="thin">
        <color theme="9" tint="0.7999816888943144"/>
      </bottom>
      <diagonal/>
    </border>
    <border>
      <left style="thin">
        <color theme="9" tint="0.7999816888943144"/>
      </left>
      <right style="thin">
        <color rgb="FFD4537E"/>
      </right>
      <top style="thin">
        <color theme="9" tint="0.7999816888943144"/>
      </top>
      <bottom style="thin">
        <color rgb="FFD4537E"/>
      </bottom>
      <diagonal/>
    </border>
    <border>
      <left/>
      <right/>
      <top/>
      <bottom style="thin">
        <color rgb="FFD4537E"/>
      </bottom>
      <diagonal/>
    </border>
    <border>
      <left style="thin">
        <color theme="9" tint="0.7999816888943144"/>
      </left>
      <right style="thin">
        <color theme="9" tint="0.7999816888943144"/>
      </right>
      <top style="thin">
        <color theme="9" tint="0.7999816888943144"/>
      </top>
      <bottom style="thin">
        <color theme="9" tint="0.7999816888943144"/>
      </bottom>
      <diagonal/>
    </border>
    <border>
      <left style="thin">
        <color rgb="FFDDDDDD"/>
      </left>
      <right style="thin">
        <color rgb="FFDDDDDD"/>
      </right>
      <top/>
      <bottom style="thin">
        <color rgb="FFDDDDDD"/>
      </bottom>
      <diagonal/>
    </border>
    <border>
      <left/>
      <right/>
      <top style="thin">
        <color theme="9" tint="0.7999816888943144"/>
      </top>
      <bottom style="thin">
        <color theme="9" tint="0.7999816888943144"/>
      </bottom>
      <diagonal/>
    </border>
    <border>
      <left style="thin">
        <color theme="9" tint="0.7999816888943144"/>
      </left>
      <right/>
      <top style="thin">
        <color theme="9" tint="0.7999816888943144"/>
      </top>
      <bottom style="thin">
        <color theme="9" tint="0.7999816888943144"/>
      </bottom>
      <diagonal/>
    </border>
    <border>
      <left/>
      <right style="thin">
        <color rgb="FF3B6D11"/>
      </right>
      <top style="thin">
        <color rgb="FF3B6D11"/>
      </top>
      <bottom style="thin">
        <color rgb="FF3B6D11"/>
      </bottom>
      <diagonal/>
    </border>
    <border>
      <left style="thin">
        <color rgb="FF791F1F"/>
      </left>
      <right style="thin">
        <color rgb="FF791F1F"/>
      </right>
      <top/>
      <bottom/>
      <diagonal/>
    </border>
    <border>
      <left style="thin">
        <color rgb="FFD4537E"/>
      </left>
      <right/>
      <top/>
      <bottom style="thin">
        <color rgb="FFD4537E"/>
      </bottom>
      <diagonal/>
    </border>
    <border>
      <left style="thin">
        <color theme="9" tint="0.7999816888943144"/>
      </left>
      <right style="thin">
        <color theme="9" tint="0.7999816888943144"/>
      </right>
      <top style="thin">
        <color theme="9" tint="0.7999816888943144"/>
      </top>
      <bottom style="thin">
        <color rgb="FFD4537E"/>
      </bottom>
      <diagonal/>
    </border>
    <border>
      <left style="thin">
        <color rgb="FF993556"/>
      </left>
      <right style="thin">
        <color rgb="FF993556"/>
      </right>
      <top/>
      <bottom style="thin">
        <color rgb="FF993556"/>
      </bottom>
      <diagonal/>
    </border>
    <border>
      <left style="thin">
        <color rgb="FFBA7517"/>
      </left>
      <right style="thin">
        <color rgb="FFBA7517"/>
      </right>
      <top/>
      <bottom style="thin">
        <color rgb="FFBA7517"/>
      </bottom>
      <diagonal/>
    </border>
    <border>
      <left style="thin">
        <color rgb="FF185FA5"/>
      </left>
      <right style="thin">
        <color rgb="FF185FA5"/>
      </right>
      <top/>
      <bottom style="thin">
        <color rgb="FF185FA5"/>
      </bottom>
      <diagonal/>
    </border>
    <border>
      <left style="thin">
        <color rgb="FF1D9E75"/>
      </left>
      <right style="thin">
        <color rgb="FF1D9E75"/>
      </right>
      <top/>
      <bottom style="thin">
        <color rgb="FF1D9E75"/>
      </bottom>
      <diagonal/>
    </border>
    <border>
      <left style="thin">
        <color rgb="FF3B6D11"/>
      </left>
      <right style="thin">
        <color rgb="FF3B6D11"/>
      </right>
      <top/>
      <bottom style="thin">
        <color rgb="FF3B6D11"/>
      </bottom>
      <diagonal/>
    </border>
    <border>
      <left style="thin">
        <color rgb="FF7F77DD"/>
      </left>
      <right style="thin">
        <color rgb="FF7F77DD"/>
      </right>
      <top/>
      <bottom style="thin">
        <color rgb="FF7F77DD"/>
      </bottom>
      <diagonal/>
    </border>
    <border>
      <left/>
      <right/>
      <top style="thin">
        <color rgb="FFDDDDDD"/>
      </top>
      <bottom/>
      <diagonal/>
    </border>
    <border>
      <left/>
      <right style="thin">
        <color rgb="FFDDDDDD"/>
      </right>
      <top style="thin">
        <color rgb="FFDDDDDD"/>
      </top>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top/>
      <bottom/>
      <diagonal/>
    </border>
    <border>
      <left/>
      <right style="thin">
        <color rgb="FFDDDDDD"/>
      </right>
      <top/>
      <bottom/>
      <diagonal/>
    </border>
    <border>
      <left style="thin">
        <color rgb="FFDDDDDD"/>
      </left>
      <right/>
      <top/>
      <bottom style="thin">
        <color rgb="FFDDDDDD"/>
      </bottom>
      <diagonal/>
    </border>
    <border>
      <left/>
      <right/>
      <top/>
      <bottom style="thin">
        <color rgb="FFDDDDDD"/>
      </bottom>
      <diagonal/>
    </border>
    <border>
      <left/>
      <right style="thin">
        <color rgb="FFDDDDDD"/>
      </right>
      <top/>
      <bottom style="thin">
        <color rgb="FFDDDDDD"/>
      </bottom>
      <diagonal/>
    </border>
    <border>
      <left/>
      <right/>
      <top style="thin">
        <color rgb="FFDDCCCC"/>
      </top>
      <bottom/>
      <diagonal/>
    </border>
    <border>
      <left/>
      <right style="thin">
        <color rgb="FFDDCCCC"/>
      </right>
      <top style="thin">
        <color rgb="FFDDCCCC"/>
      </top>
      <bottom/>
      <diagonal/>
    </border>
    <border>
      <left/>
      <right style="thin">
        <color rgb="FFDDCCCC"/>
      </right>
      <top style="thin">
        <color rgb="FFDDCCCC"/>
      </top>
      <bottom style="thin">
        <color rgb="FFDDCCCC"/>
      </bottom>
      <diagonal/>
    </border>
    <border>
      <left/>
      <right style="thin">
        <color rgb="FFBA7517"/>
      </right>
      <top/>
      <bottom/>
      <diagonal/>
    </border>
    <border>
      <left/>
      <right/>
      <top/>
      <bottom style="thin">
        <color rgb="FFBA7517"/>
      </bottom>
      <diagonal/>
    </border>
    <border>
      <left/>
      <right style="thin">
        <color rgb="FFBA7517"/>
      </right>
      <top/>
      <bottom style="thin">
        <color rgb="FFBA7517"/>
      </bottom>
      <diagonal/>
    </border>
    <border>
      <left/>
      <right style="thin">
        <color rgb="FF1D9E75"/>
      </right>
      <top/>
      <bottom/>
      <diagonal/>
    </border>
    <border>
      <left/>
      <right/>
      <top/>
      <bottom style="thin">
        <color rgb="FF1D9E75"/>
      </bottom>
      <diagonal/>
    </border>
    <border>
      <left/>
      <right style="thin">
        <color rgb="FF1D9E75"/>
      </right>
      <top/>
      <bottom style="thin">
        <color rgb="FF1D9E75"/>
      </bottom>
      <diagonal/>
    </border>
    <border>
      <left/>
      <right style="thin">
        <color rgb="FF185FA5"/>
      </right>
      <top/>
      <bottom/>
      <diagonal/>
    </border>
    <border>
      <left/>
      <right style="thin">
        <color rgb="FF185FA5"/>
      </right>
      <top/>
      <bottom style="thin">
        <color rgb="FF185FA5"/>
      </bottom>
      <diagonal/>
    </border>
    <border>
      <left/>
      <right style="thin">
        <color rgb="FF7F77DD"/>
      </right>
      <top/>
      <bottom/>
      <diagonal/>
    </border>
    <border>
      <left/>
      <right/>
      <top/>
      <bottom style="thin">
        <color rgb="FF7F77DD"/>
      </bottom>
      <diagonal/>
    </border>
    <border>
      <left/>
      <right style="thin">
        <color rgb="FF7F77DD"/>
      </right>
      <top/>
      <bottom style="thin">
        <color rgb="FF7F77DD"/>
      </bottom>
      <diagonal/>
    </border>
    <border>
      <left/>
      <right style="thin">
        <color rgb="FF3B6D11"/>
      </right>
      <top/>
      <bottom/>
      <diagonal/>
    </border>
    <border>
      <left/>
      <right/>
      <top/>
      <bottom style="thin">
        <color rgb="FF3B6D11"/>
      </bottom>
      <diagonal/>
    </border>
    <border>
      <left/>
      <right style="thin">
        <color rgb="FF3B6D11"/>
      </right>
      <top/>
      <bottom style="thin">
        <color rgb="FF3B6D11"/>
      </bottom>
      <diagonal/>
    </border>
    <border>
      <left/>
      <right style="thin">
        <color rgb="FF993556"/>
      </right>
      <top/>
      <bottom/>
      <diagonal/>
    </border>
    <border>
      <left/>
      <right/>
      <top/>
      <bottom style="thin">
        <color rgb="FF993556"/>
      </bottom>
      <diagonal/>
    </border>
    <border>
      <left/>
      <right style="thin">
        <color rgb="FF993556"/>
      </right>
      <top/>
      <bottom style="thin">
        <color rgb="FF993556"/>
      </bottom>
      <diagonal/>
    </border>
    <border>
      <left/>
      <right/>
      <top style="thin">
        <color rgb="FF3B6D11"/>
      </top>
      <bottom/>
      <diagonal/>
    </border>
    <border>
      <left/>
      <right style="thin">
        <color rgb="FF3B6D11"/>
      </right>
      <top style="thin">
        <color rgb="FF3B6D11"/>
      </top>
      <bottom/>
      <diagonal/>
    </border>
    <border>
      <left/>
      <right/>
      <top style="thin">
        <color rgb="FF3B6D11"/>
      </top>
      <bottom style="thin">
        <color rgb="FF3B6D11"/>
      </bottom>
      <diagonal/>
    </border>
    <border>
      <left/>
      <right/>
      <top style="thin">
        <color rgb="FFBA7517"/>
      </top>
      <bottom/>
      <diagonal/>
    </border>
    <border>
      <left/>
      <right style="thin">
        <color rgb="FFBA7517"/>
      </right>
      <top style="thin">
        <color rgb="FFBA7517"/>
      </top>
      <bottom/>
      <diagonal/>
    </border>
    <border>
      <left/>
      <right/>
      <top style="thin">
        <color rgb="FFBA7517"/>
      </top>
      <bottom style="thin">
        <color rgb="FFBA7517"/>
      </bottom>
      <diagonal/>
    </border>
    <border>
      <left/>
      <right style="thin">
        <color rgb="FFBA7517"/>
      </right>
      <top style="thin">
        <color rgb="FFBA7517"/>
      </top>
      <bottom style="thin">
        <color rgb="FFBA7517"/>
      </bottom>
      <diagonal/>
    </border>
    <border>
      <left/>
      <right/>
      <top style="thin">
        <color rgb="FF1D9E75"/>
      </top>
      <bottom/>
      <diagonal/>
    </border>
    <border>
      <left/>
      <right style="thin">
        <color rgb="FF1D9E75"/>
      </right>
      <top style="thin">
        <color rgb="FF1D9E75"/>
      </top>
      <bottom/>
      <diagonal/>
    </border>
    <border>
      <left/>
      <right/>
      <top style="thin">
        <color rgb="FF1D9E75"/>
      </top>
      <bottom style="thin">
        <color rgb="FF1D9E75"/>
      </bottom>
      <diagonal/>
    </border>
    <border>
      <left/>
      <right style="thin">
        <color rgb="FF1D9E75"/>
      </right>
      <top style="thin">
        <color rgb="FF1D9E75"/>
      </top>
      <bottom style="thin">
        <color rgb="FF1D9E75"/>
      </bottom>
      <diagonal/>
    </border>
    <border>
      <left/>
      <right/>
      <top style="thin">
        <color rgb="FFA32D2D"/>
      </top>
      <bottom/>
      <diagonal/>
    </border>
    <border>
      <left/>
      <right style="thin">
        <color rgb="FFA32D2D"/>
      </right>
      <top style="thin">
        <color rgb="FFA32D2D"/>
      </top>
      <bottom/>
      <diagonal/>
    </border>
    <border>
      <left/>
      <right style="thin">
        <color rgb="FFA32D2D"/>
      </right>
      <top style="thin">
        <color rgb="FFA32D2D"/>
      </top>
      <bottom style="thin">
        <color rgb="FFA32D2D"/>
      </bottom>
      <diagonal/>
    </border>
    <border>
      <left/>
      <right/>
      <top style="thin">
        <color rgb="FF7F77DD"/>
      </top>
      <bottom/>
      <diagonal/>
    </border>
    <border>
      <left/>
      <right style="thin">
        <color rgb="FF7F77DD"/>
      </right>
      <top style="thin">
        <color rgb="FF7F77DD"/>
      </top>
      <bottom/>
      <diagonal/>
    </border>
    <border>
      <left/>
      <right style="thin">
        <color rgb="FF7F77DD"/>
      </right>
      <top style="thin">
        <color rgb="FF7F77DD"/>
      </top>
      <bottom style="thin">
        <color rgb="FF7F77DD"/>
      </bottom>
      <diagonal/>
    </border>
  </borders>
  <cellStyleXfs count="1">
    <xf numFmtId="0" fontId="0" fillId="0" borderId="0"/>
  </cellStyleXfs>
  <cellXfs count="152">
    <xf numFmtId="0" fontId="0" fillId="0" borderId="0" pivotButton="0" quotePrefix="0" xfId="0"/>
    <xf numFmtId="0" fontId="3" fillId="4" borderId="1" applyAlignment="1" pivotButton="0" quotePrefix="0" xfId="0">
      <alignment horizontal="left" vertical="center" wrapText="1"/>
    </xf>
    <xf numFmtId="0" fontId="3" fillId="10" borderId="1" applyAlignment="1" pivotButton="0" quotePrefix="0" xfId="0">
      <alignment horizontal="left" vertical="center" wrapText="1"/>
    </xf>
    <xf numFmtId="0" fontId="13" fillId="11" borderId="7" applyAlignment="1" pivotButton="0" quotePrefix="0" xfId="0">
      <alignment horizontal="center" vertical="center" wrapText="1"/>
    </xf>
    <xf numFmtId="0" fontId="13" fillId="12" borderId="7" applyAlignment="1" pivotButton="0" quotePrefix="0" xfId="0">
      <alignment horizontal="center" vertical="center" wrapText="1"/>
    </xf>
    <xf numFmtId="0" fontId="13" fillId="13" borderId="7" applyAlignment="1" pivotButton="0" quotePrefix="0" xfId="0">
      <alignment horizontal="center" vertical="center" wrapText="1"/>
    </xf>
    <xf numFmtId="0" fontId="13" fillId="14" borderId="7" applyAlignment="1" pivotButton="0" quotePrefix="0" xfId="0">
      <alignment horizontal="center" vertical="center" wrapText="1"/>
    </xf>
    <xf numFmtId="0" fontId="13" fillId="15" borderId="7"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1" applyAlignment="1" pivotButton="0" quotePrefix="0" xfId="0">
      <alignment horizontal="center" vertical="center" wrapText="1"/>
    </xf>
    <xf numFmtId="0" fontId="8" fillId="7" borderId="1" applyAlignment="1" pivotButton="0" quotePrefix="0" xfId="0">
      <alignment horizontal="center" vertical="center" wrapText="1"/>
    </xf>
    <xf numFmtId="0" fontId="5" fillId="5" borderId="1" applyAlignment="1" pivotButton="0" quotePrefix="0" xfId="0">
      <alignment horizontal="center" vertical="center" wrapText="1"/>
    </xf>
    <xf numFmtId="0" fontId="14" fillId="10" borderId="1" applyAlignment="1" pivotButton="0" quotePrefix="0" xfId="0">
      <alignment horizontal="center" vertical="center" wrapText="1"/>
    </xf>
    <xf numFmtId="0" fontId="3" fillId="10" borderId="1" applyAlignment="1" pivotButton="0" quotePrefix="0" xfId="0">
      <alignment horizontal="center" vertical="center" wrapText="1"/>
    </xf>
    <xf numFmtId="0" fontId="7" fillId="6" borderId="1" applyAlignment="1" pivotButton="0" quotePrefix="0" xfId="0">
      <alignment horizontal="center" vertical="center" wrapText="1"/>
    </xf>
    <xf numFmtId="0" fontId="9" fillId="8" borderId="1" applyAlignment="1" pivotButton="0" quotePrefix="0" xfId="0">
      <alignment horizontal="center" vertical="center" wrapText="1"/>
    </xf>
    <xf numFmtId="0" fontId="15" fillId="11" borderId="7" applyAlignment="1" pivotButton="0" quotePrefix="0" xfId="0">
      <alignment horizontal="center" vertical="center" wrapText="1"/>
    </xf>
    <xf numFmtId="0" fontId="15" fillId="14" borderId="7" applyAlignment="1" pivotButton="0" quotePrefix="0" xfId="0">
      <alignment horizontal="center" vertical="center" wrapText="1"/>
    </xf>
    <xf numFmtId="0" fontId="15" fillId="13" borderId="7" applyAlignment="1" pivotButton="0" quotePrefix="0" xfId="0">
      <alignment horizontal="center" vertical="center" wrapText="1"/>
    </xf>
    <xf numFmtId="0" fontId="4" fillId="2" borderId="1" applyAlignment="1" pivotButton="0" quotePrefix="0" xfId="0">
      <alignment horizontal="center" vertical="center"/>
    </xf>
    <xf numFmtId="0" fontId="3" fillId="4" borderId="1" applyAlignment="1" pivotButton="0" quotePrefix="0" xfId="0">
      <alignment horizontal="left" vertical="center"/>
    </xf>
    <xf numFmtId="0" fontId="16" fillId="5" borderId="1" applyAlignment="1" pivotButton="0" quotePrefix="0" xfId="0">
      <alignment horizontal="center" vertical="center"/>
    </xf>
    <xf numFmtId="0" fontId="3" fillId="3" borderId="1" applyAlignment="1" pivotButton="0" quotePrefix="0" xfId="0">
      <alignment horizontal="center" vertical="center"/>
    </xf>
    <xf numFmtId="0" fontId="3" fillId="10" borderId="1" applyAlignment="1" pivotButton="0" quotePrefix="0" xfId="0">
      <alignment horizontal="left" vertical="center"/>
    </xf>
    <xf numFmtId="0" fontId="3" fillId="4" borderId="1" applyAlignment="1" pivotButton="0" quotePrefix="0" xfId="0">
      <alignment horizontal="center" vertical="center"/>
    </xf>
    <xf numFmtId="9" fontId="5" fillId="5" borderId="5" applyAlignment="1" pivotButton="0" quotePrefix="0" xfId="0">
      <alignment horizontal="center" vertical="center"/>
    </xf>
    <xf numFmtId="0" fontId="22" fillId="8" borderId="1" applyAlignment="1" pivotButton="0" quotePrefix="0" xfId="0">
      <alignment horizontal="center" vertical="center"/>
    </xf>
    <xf numFmtId="0" fontId="24" fillId="17" borderId="1" applyAlignment="1" pivotButton="0" quotePrefix="0" xfId="0">
      <alignment horizontal="center" vertical="center"/>
    </xf>
    <xf numFmtId="0" fontId="26" fillId="6" borderId="1" applyAlignment="1" pivotButton="0" quotePrefix="0" xfId="0">
      <alignment horizontal="center" vertical="center"/>
    </xf>
    <xf numFmtId="0" fontId="28" fillId="5" borderId="1" applyAlignment="1" pivotButton="0" quotePrefix="0" xfId="0">
      <alignment horizontal="center" vertical="center"/>
    </xf>
    <xf numFmtId="0" fontId="30" fillId="9" borderId="1" applyAlignment="1" pivotButton="0" quotePrefix="0" xfId="0">
      <alignment horizontal="center" vertical="center"/>
    </xf>
    <xf numFmtId="0" fontId="32" fillId="7" borderId="1" applyAlignment="1" pivotButton="0" quotePrefix="0" xfId="0">
      <alignment horizontal="center" vertical="center"/>
    </xf>
    <xf numFmtId="0" fontId="34" fillId="3" borderId="1" applyAlignment="1" pivotButton="0" quotePrefix="0" xfId="0">
      <alignment horizontal="center" vertical="center"/>
    </xf>
    <xf numFmtId="0" fontId="4" fillId="2" borderId="1" applyAlignment="1" pivotButton="0" quotePrefix="0" xfId="0">
      <alignment horizontal="center" vertical="center" wrapText="1"/>
    </xf>
    <xf numFmtId="0" fontId="40" fillId="17" borderId="1" applyAlignment="1" pivotButton="0" quotePrefix="0" xfId="0">
      <alignment horizontal="center" vertical="center" wrapText="1"/>
    </xf>
    <xf numFmtId="0" fontId="10" fillId="9" borderId="1" applyAlignment="1" pivotButton="0" quotePrefix="0" xfId="0">
      <alignment horizontal="center" vertical="center" wrapText="1"/>
    </xf>
    <xf numFmtId="0" fontId="0" fillId="0" borderId="0"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6" fillId="4" borderId="1" applyAlignment="1" pivotButton="0" quotePrefix="0" xfId="0">
      <alignment horizontal="left" vertical="center"/>
    </xf>
    <xf numFmtId="0" fontId="2" fillId="3" borderId="1" applyAlignment="1" pivotButton="0" quotePrefix="0" xfId="0">
      <alignment horizontal="left" vertical="center"/>
    </xf>
    <xf numFmtId="0" fontId="11" fillId="3" borderId="1" applyAlignment="1" pivotButton="0" quotePrefix="0" xfId="0">
      <alignment horizontal="left" vertical="center"/>
    </xf>
    <xf numFmtId="0" fontId="5" fillId="5" borderId="1" applyAlignment="1" pivotButton="0" quotePrefix="0" xfId="0">
      <alignment horizontal="left" vertical="center"/>
    </xf>
    <xf numFmtId="0" fontId="9" fillId="8" borderId="1" applyAlignment="1" pivotButton="0" quotePrefix="0" xfId="0">
      <alignment horizontal="left" vertical="center"/>
    </xf>
    <xf numFmtId="0" fontId="8" fillId="7" borderId="1" applyAlignment="1" pivotButton="0" quotePrefix="0" xfId="0">
      <alignment horizontal="left" vertical="center"/>
    </xf>
    <xf numFmtId="0" fontId="7" fillId="6" borderId="1" applyAlignment="1" pivotButton="0" quotePrefix="0" xfId="0">
      <alignment horizontal="left" vertical="center"/>
    </xf>
    <xf numFmtId="0" fontId="10" fillId="9" borderId="1" applyAlignment="1" pivotButton="0" quotePrefix="0" xfId="0">
      <alignment horizontal="left" vertical="center"/>
    </xf>
    <xf numFmtId="0" fontId="15" fillId="14" borderId="5" applyAlignment="1" pivotButton="0" quotePrefix="0" xfId="0">
      <alignment horizontal="center" vertical="center"/>
    </xf>
    <xf numFmtId="0" fontId="15" fillId="11" borderId="3" applyAlignment="1" pivotButton="0" quotePrefix="0" xfId="0">
      <alignment horizontal="center" vertical="center"/>
    </xf>
    <xf numFmtId="0" fontId="15" fillId="13" borderId="4" applyAlignment="1" pivotButton="0" quotePrefix="0" xfId="0">
      <alignment horizontal="center" vertical="center"/>
    </xf>
    <xf numFmtId="0" fontId="0" fillId="11" borderId="3" pivotButton="0" quotePrefix="0" xfId="0"/>
    <xf numFmtId="0" fontId="19" fillId="16" borderId="8" applyAlignment="1" pivotButton="0" quotePrefix="0" xfId="0">
      <alignment horizontal="center" vertical="center"/>
    </xf>
    <xf numFmtId="0" fontId="19" fillId="15" borderId="6" applyAlignment="1" pivotButton="0" quotePrefix="0" xfId="0">
      <alignment horizontal="center" vertical="center"/>
    </xf>
    <xf numFmtId="0" fontId="18" fillId="16" borderId="8" applyAlignment="1" pivotButton="0" quotePrefix="0" xfId="0">
      <alignment horizontal="center" vertical="center"/>
    </xf>
    <xf numFmtId="0" fontId="18" fillId="15" borderId="6" applyAlignment="1" pivotButton="0" quotePrefix="0" xfId="0">
      <alignment horizontal="center" vertical="center"/>
    </xf>
    <xf numFmtId="0" fontId="36" fillId="6" borderId="1" applyAlignment="1" pivotButton="0" quotePrefix="0" xfId="0">
      <alignment horizontal="center" vertical="center"/>
    </xf>
    <xf numFmtId="0" fontId="37" fillId="8" borderId="1" applyAlignment="1" pivotButton="0" quotePrefix="0" xfId="0">
      <alignment horizontal="center" vertical="center"/>
    </xf>
    <xf numFmtId="0" fontId="18" fillId="11" borderId="3" applyAlignment="1" pivotButton="0" quotePrefix="0" xfId="0">
      <alignment horizontal="center" vertical="center"/>
    </xf>
    <xf numFmtId="0" fontId="0" fillId="16" borderId="8" pivotButton="0" quotePrefix="0" xfId="0"/>
    <xf numFmtId="0" fontId="35" fillId="7" borderId="1" applyAlignment="1" pivotButton="0" quotePrefix="0" xfId="0">
      <alignment horizontal="center" vertical="center"/>
    </xf>
    <xf numFmtId="0" fontId="38" fillId="3" borderId="1" applyAlignment="1" pivotButton="0" quotePrefix="0" xfId="0">
      <alignment horizontal="center" vertical="center"/>
    </xf>
    <xf numFmtId="0" fontId="0" fillId="15" borderId="6" pivotButton="0" quotePrefix="0" xfId="0"/>
    <xf numFmtId="0" fontId="19" fillId="11" borderId="3" applyAlignment="1" pivotButton="0" quotePrefix="0" xfId="0">
      <alignment horizontal="center" vertical="center"/>
    </xf>
    <xf numFmtId="0" fontId="1" fillId="18" borderId="0" applyAlignment="1" pivotButton="0" quotePrefix="0" xfId="0">
      <alignment horizontal="center" vertical="center"/>
    </xf>
    <xf numFmtId="0" fontId="0" fillId="18" borderId="0" pivotButton="0" quotePrefix="0" xfId="0"/>
    <xf numFmtId="0" fontId="12" fillId="18" borderId="0" applyAlignment="1" pivotButton="0" quotePrefix="0" xfId="0">
      <alignment horizontal="center" vertical="center"/>
    </xf>
    <xf numFmtId="0" fontId="13" fillId="18" borderId="7" applyAlignment="1" pivotButton="0" quotePrefix="0" xfId="0">
      <alignment horizontal="center" vertical="center" wrapText="1"/>
    </xf>
    <xf numFmtId="0" fontId="0" fillId="18" borderId="0" pivotButton="0" quotePrefix="0" xfId="0"/>
    <xf numFmtId="0" fontId="15" fillId="18" borderId="7" applyAlignment="1" pivotButton="0" quotePrefix="0" xfId="0">
      <alignment horizontal="center" vertical="center" wrapText="1"/>
    </xf>
    <xf numFmtId="0" fontId="12" fillId="18" borderId="9" applyAlignment="1" pivotButton="0" quotePrefix="0" xfId="0">
      <alignment horizontal="center" vertical="center"/>
    </xf>
    <xf numFmtId="0" fontId="0" fillId="18" borderId="9" pivotButton="0" quotePrefix="0" xfId="0"/>
    <xf numFmtId="0" fontId="13" fillId="18" borderId="11" applyAlignment="1" pivotButton="0" quotePrefix="0" xfId="0">
      <alignment horizontal="center" vertical="center" wrapText="1"/>
    </xf>
    <xf numFmtId="0" fontId="13" fillId="18" borderId="10" applyAlignment="1" pivotButton="0" quotePrefix="0" xfId="0">
      <alignment horizontal="center" vertical="center" wrapText="1"/>
    </xf>
    <xf numFmtId="0" fontId="4" fillId="2" borderId="13" applyAlignment="1" pivotButton="0" quotePrefix="0" xfId="0">
      <alignment horizontal="center" vertical="center" wrapText="1"/>
    </xf>
    <xf numFmtId="0" fontId="3" fillId="10" borderId="13" applyAlignment="1" pivotButton="0" quotePrefix="0" xfId="0">
      <alignment horizontal="left" vertical="center" wrapText="1"/>
    </xf>
    <xf numFmtId="0" fontId="3" fillId="10" borderId="13" applyAlignment="1" pivotButton="0" quotePrefix="0" xfId="0">
      <alignment horizontal="center" vertical="center" wrapText="1"/>
    </xf>
    <xf numFmtId="0" fontId="7" fillId="6" borderId="13" applyAlignment="1" pivotButton="0" quotePrefix="0" xfId="0">
      <alignment horizontal="center" vertical="center" wrapText="1"/>
    </xf>
    <xf numFmtId="0" fontId="5" fillId="5" borderId="13" applyAlignment="1" pivotButton="0" quotePrefix="0" xfId="0">
      <alignment horizontal="center" vertical="center" wrapText="1"/>
    </xf>
    <xf numFmtId="0" fontId="13" fillId="18" borderId="12" applyAlignment="1" pivotButton="0" quotePrefix="0" xfId="0">
      <alignment horizontal="center" vertical="center" wrapText="1"/>
    </xf>
    <xf numFmtId="0" fontId="13" fillId="18" borderId="14" applyAlignment="1" pivotButton="0" quotePrefix="0" xfId="0">
      <alignment horizontal="center" vertical="center" wrapText="1"/>
    </xf>
    <xf numFmtId="0" fontId="13" fillId="18" borderId="15" applyAlignment="1" pivotButton="0" quotePrefix="0" xfId="0">
      <alignment horizontal="center" vertical="center" wrapText="1"/>
    </xf>
    <xf numFmtId="0" fontId="18" fillId="14" borderId="16" applyAlignment="1" pivotButton="0" quotePrefix="0" xfId="0">
      <alignment horizontal="center" vertical="center"/>
    </xf>
    <xf numFmtId="0" fontId="19" fillId="14" borderId="16" applyAlignment="1" pivotButton="0" quotePrefix="0" xfId="0">
      <alignment horizontal="center" vertical="center"/>
    </xf>
    <xf numFmtId="0" fontId="0" fillId="14" borderId="16" pivotButton="0" quotePrefix="0" xfId="0"/>
    <xf numFmtId="0" fontId="18" fillId="18" borderId="0" applyAlignment="1" pivotButton="0" quotePrefix="0" xfId="0">
      <alignment horizontal="center" vertical="center"/>
    </xf>
    <xf numFmtId="0" fontId="0" fillId="18" borderId="0" pivotButton="0" quotePrefix="0" xfId="0"/>
    <xf numFmtId="0" fontId="19" fillId="18" borderId="0" applyAlignment="1" pivotButton="0" quotePrefix="0" xfId="0">
      <alignment horizontal="center" vertical="center"/>
    </xf>
    <xf numFmtId="0" fontId="21" fillId="8" borderId="13" applyAlignment="1" pivotButton="0" quotePrefix="0" xfId="0">
      <alignment horizontal="center" vertical="center" wrapText="1"/>
    </xf>
    <xf numFmtId="0" fontId="23" fillId="17" borderId="13" applyAlignment="1" pivotButton="0" quotePrefix="0" xfId="0">
      <alignment horizontal="center" vertical="center" wrapText="1"/>
    </xf>
    <xf numFmtId="0" fontId="25" fillId="6" borderId="13" applyAlignment="1" pivotButton="0" quotePrefix="0" xfId="0">
      <alignment horizontal="center" vertical="center" wrapText="1"/>
    </xf>
    <xf numFmtId="0" fontId="27" fillId="5" borderId="13" applyAlignment="1" pivotButton="0" quotePrefix="0" xfId="0">
      <alignment horizontal="center" vertical="center" wrapText="1"/>
    </xf>
    <xf numFmtId="0" fontId="29" fillId="9" borderId="13" applyAlignment="1" pivotButton="0" quotePrefix="0" xfId="0">
      <alignment horizontal="center" vertical="center" wrapText="1"/>
    </xf>
    <xf numFmtId="0" fontId="31" fillId="7" borderId="13" applyAlignment="1" pivotButton="0" quotePrefix="0" xfId="0">
      <alignment horizontal="center" vertical="center" wrapText="1"/>
    </xf>
    <xf numFmtId="0" fontId="33" fillId="3" borderId="13" applyAlignment="1" pivotButton="0" quotePrefix="0" xfId="0">
      <alignment horizontal="center" vertical="center" wrapText="1"/>
    </xf>
    <xf numFmtId="0" fontId="20" fillId="18" borderId="0" applyAlignment="1" pivotButton="0" quotePrefix="0" xfId="0">
      <alignment horizontal="center" vertical="center"/>
    </xf>
    <xf numFmtId="0" fontId="8" fillId="7" borderId="13" applyAlignment="1" pivotButton="0" quotePrefix="0" xfId="0">
      <alignment horizontal="center" vertical="center"/>
    </xf>
    <xf numFmtId="0" fontId="7" fillId="6" borderId="13" applyAlignment="1" pivotButton="0" quotePrefix="0" xfId="0">
      <alignment horizontal="center" vertical="center"/>
    </xf>
    <xf numFmtId="0" fontId="9" fillId="8" borderId="13" applyAlignment="1" pivotButton="0" quotePrefix="0" xfId="0">
      <alignment horizontal="center" vertical="center"/>
    </xf>
    <xf numFmtId="0" fontId="11" fillId="3" borderId="13" applyAlignment="1" pivotButton="0" quotePrefix="0" xfId="0">
      <alignment horizontal="center" vertical="center"/>
    </xf>
    <xf numFmtId="0" fontId="13" fillId="16" borderId="17" applyAlignment="1" pivotButton="0" quotePrefix="0" xfId="0">
      <alignment horizontal="center" vertical="center"/>
    </xf>
    <xf numFmtId="0" fontId="13" fillId="18" borderId="18" applyAlignment="1" pivotButton="0" quotePrefix="0" xfId="0">
      <alignment horizontal="center" vertical="center" wrapText="1"/>
    </xf>
    <xf numFmtId="0" fontId="13" fillId="18" borderId="19" applyAlignment="1" pivotButton="0" quotePrefix="0" xfId="0">
      <alignment horizontal="center" vertical="center" wrapText="1"/>
    </xf>
    <xf numFmtId="0" fontId="17" fillId="19" borderId="0" applyAlignment="1" pivotButton="0" quotePrefix="0" xfId="0">
      <alignment horizontal="center" vertical="center"/>
    </xf>
    <xf numFmtId="0" fontId="0" fillId="19" borderId="0" pivotButton="0" quotePrefix="0" xfId="0"/>
    <xf numFmtId="0" fontId="39" fillId="19" borderId="0" applyAlignment="1" pivotButton="0" quotePrefix="0" xfId="0">
      <alignment horizontal="left" vertical="center" wrapText="1"/>
    </xf>
    <xf numFmtId="0" fontId="0" fillId="19" borderId="0" pivotButton="0" quotePrefix="0" xfId="0"/>
    <xf numFmtId="9" fontId="5" fillId="5" borderId="16" applyAlignment="1" pivotButton="0" quotePrefix="0" xfId="0">
      <alignment horizontal="center" vertical="center"/>
    </xf>
    <xf numFmtId="0" fontId="13" fillId="18" borderId="0" applyAlignment="1" pivotButton="0" quotePrefix="0" xfId="0">
      <alignment horizontal="center" vertical="center"/>
    </xf>
    <xf numFmtId="0" fontId="13" fillId="18" borderId="20" applyAlignment="1" pivotButton="0" quotePrefix="0" xfId="0">
      <alignment horizontal="center" vertical="center"/>
    </xf>
    <xf numFmtId="0" fontId="13" fillId="11" borderId="21" applyAlignment="1" pivotButton="0" quotePrefix="0" xfId="0">
      <alignment horizontal="center" vertical="center"/>
    </xf>
    <xf numFmtId="0" fontId="13" fillId="12" borderId="22" applyAlignment="1" pivotButton="0" quotePrefix="0" xfId="0">
      <alignment horizontal="center" vertical="center"/>
    </xf>
    <xf numFmtId="0" fontId="13" fillId="13" borderId="23" applyAlignment="1" pivotButton="0" quotePrefix="0" xfId="0">
      <alignment horizontal="center" vertical="center"/>
    </xf>
    <xf numFmtId="0" fontId="13" fillId="14" borderId="24" applyAlignment="1" pivotButton="0" quotePrefix="0" xfId="0">
      <alignment horizontal="center" vertical="center"/>
    </xf>
    <xf numFmtId="0" fontId="13" fillId="15" borderId="25" applyAlignment="1" pivotButton="0" quotePrefix="0" xfId="0">
      <alignment horizontal="center" vertical="center"/>
    </xf>
    <xf numFmtId="0" fontId="12" fillId="18" borderId="0" applyAlignment="1" pivotButton="0" quotePrefix="0" xfId="0">
      <alignment horizontal="center" vertical="center"/>
    </xf>
    <xf numFmtId="0" fontId="3" fillId="19" borderId="1" applyAlignment="1" pivotButton="0" quotePrefix="0" xfId="0">
      <alignment horizontal="left" vertical="center" wrapText="1"/>
    </xf>
    <xf numFmtId="0" fontId="41" fillId="19" borderId="2" applyAlignment="1" pivotButton="0" quotePrefix="0" xfId="0">
      <alignment horizontal="left" vertical="center"/>
    </xf>
    <xf numFmtId="0" fontId="42" fillId="19" borderId="0" pivotButton="0" quotePrefix="0" xfId="0"/>
    <xf numFmtId="0" fontId="43" fillId="19" borderId="0" applyAlignment="1" pivotButton="0" quotePrefix="0" xfId="0">
      <alignment horizontal="center" vertical="center"/>
    </xf>
    <xf numFmtId="0" fontId="0" fillId="0" borderId="28" pivotButton="0" quotePrefix="0" xfId="0"/>
    <xf numFmtId="0" fontId="0" fillId="0" borderId="29" pivotButton="0" quotePrefix="0" xfId="0"/>
    <xf numFmtId="0" fontId="0" fillId="0" borderId="26" pivotButton="0" quotePrefix="0" xfId="0"/>
    <xf numFmtId="0" fontId="0" fillId="0" borderId="27"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7" pivotButton="0" quotePrefix="0" xfId="0"/>
    <xf numFmtId="0" fontId="0" fillId="0" borderId="53" pivotButton="0" quotePrefix="0" xfId="0"/>
    <xf numFmtId="0" fontId="0" fillId="0" borderId="54" pivotButton="0" quotePrefix="0" xfId="0"/>
    <xf numFmtId="0" fontId="0" fillId="0" borderId="39" pivotButton="0" quotePrefix="0" xfId="0"/>
    <xf numFmtId="0" fontId="0" fillId="0" borderId="40" pivotButton="0" quotePrefix="0" xfId="0"/>
    <xf numFmtId="0" fontId="0" fillId="0" borderId="45" pivotButton="0" quotePrefix="0" xfId="0"/>
    <xf numFmtId="0" fontId="0" fillId="0" borderId="42" pivotButton="0" quotePrefix="0" xfId="0"/>
    <xf numFmtId="0" fontId="0" fillId="0" borderId="43" pivotButton="0" quotePrefix="0" xfId="0"/>
    <xf numFmtId="0" fontId="0" fillId="0" borderId="50" pivotButton="0" quotePrefix="0" xfId="0"/>
    <xf numFmtId="0" fontId="0" fillId="0" borderId="51" pivotButton="0" quotePrefix="0" xfId="0"/>
    <xf numFmtId="0" fontId="0" fillId="0" borderId="47" pivotButton="0" quotePrefix="0" xfId="0"/>
    <xf numFmtId="0" fontId="0" fillId="0" borderId="48" pivotButton="0" quotePrefix="0" xfId="0"/>
    <xf numFmtId="0" fontId="0" fillId="0" borderId="57" pivotButton="0" quotePrefix="0" xfId="0"/>
    <xf numFmtId="0" fontId="0" fillId="0" borderId="16" pivotButton="0" quotePrefix="0" xfId="0"/>
    <xf numFmtId="0" fontId="0" fillId="0" borderId="64" pivotButton="0" quotePrefix="0" xfId="0"/>
    <xf numFmtId="0" fontId="0" fillId="0" borderId="65" pivotButton="0" quotePrefix="0" xfId="0"/>
    <xf numFmtId="0" fontId="15" fillId="11" borderId="7" applyAlignment="1" pivotButton="0" quotePrefix="0" xfId="0">
      <alignment horizontal="center" vertical="center" textRotation="90" wrapText="1"/>
    </xf>
    <xf numFmtId="0" fontId="15" fillId="14" borderId="7" applyAlignment="1" pivotButton="0" quotePrefix="0" xfId="0">
      <alignment horizontal="center" vertical="center" textRotation="90" wrapText="1"/>
    </xf>
    <xf numFmtId="0" fontId="15" fillId="13" borderId="7" applyAlignment="1" pivotButton="0" quotePrefix="0" xfId="0">
      <alignment horizontal="center" vertical="center" textRotation="90" wrapText="1"/>
    </xf>
    <xf numFmtId="0" fontId="15" fillId="18" borderId="7" applyAlignment="1" pivotButton="0" quotePrefix="0" xfId="0">
      <alignment horizontal="center" vertical="center" textRotation="90" wrapText="1"/>
    </xf>
    <xf numFmtId="0" fontId="0" fillId="0" borderId="61" pivotButton="0" quotePrefix="0" xfId="0"/>
    <xf numFmtId="0" fontId="0" fillId="0" borderId="68" pivotButton="0" quotePrefix="0" xfId="0"/>
    <xf numFmtId="0" fontId="0" fillId="0" borderId="71" pivotButton="0" quotePrefix="0" xfId="0"/>
    <xf numFmtId="0" fontId="0" fillId="0" borderId="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Tema1-UPB">
  <a:themeElements>
    <a:clrScheme name="UPB">
      <a:dk1>
        <a:srgbClr val="000000"/>
      </a:dk1>
      <a:lt1>
        <a:srgbClr val="FFFFFF"/>
      </a:lt1>
      <a:dk2>
        <a:srgbClr val="000087"/>
      </a:dk2>
      <a:lt2>
        <a:srgbClr val="5882F8"/>
      </a:lt2>
      <a:accent1>
        <a:srgbClr val="D0EB00"/>
      </a:accent1>
      <a:accent2>
        <a:srgbClr val="AD3DFF"/>
      </a:accent2>
      <a:accent3>
        <a:srgbClr val="DF7D00"/>
      </a:accent3>
      <a:accent4>
        <a:srgbClr val="FFCD28"/>
      </a:accent4>
      <a:accent5>
        <a:srgbClr val="E50213"/>
      </a:accent5>
      <a:accent6>
        <a:srgbClr val="7CA7AD"/>
      </a:accent6>
      <a:hlink>
        <a:srgbClr val="000087"/>
      </a:hlink>
      <a:folHlink>
        <a:srgbClr val="FFCD28"/>
      </a:folHlink>
    </a:clrScheme>
    <a:fontScheme name="Roboto">
      <a:majorFont>
        <a:latin typeface="Roboto"/>
        <a:ea typeface=""/>
        <a:cs typeface=""/>
      </a:majorFont>
      <a:minorFont>
        <a:latin typeface="Roboto"/>
        <a:ea typeface=""/>
        <a:cs typeface=""/>
      </a:minorFont>
    </a:fontScheme>
    <a:fmtScheme name="Tema de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ema1-UPB" id="{A521A89D-A243-1942-A813-F5562B35CD78}" vid="{16195D9E-EAD6-9045-B52E-AAB324770723}"/>
    </a:ext>
  </a:extLst>
</a:theme>
</file>

<file path=xl/worksheets/sheet1.xml><?xml version="1.0" encoding="utf-8"?>
<worksheet xmlns="http://schemas.openxmlformats.org/spreadsheetml/2006/main">
  <sheetPr>
    <outlinePr summaryBelow="1" summaryRight="1"/>
    <pageSetUpPr/>
  </sheetPr>
  <dimension ref="A1:H41"/>
  <sheetViews>
    <sheetView showGridLines="0" workbookViewId="0">
      <selection activeCell="C33" sqref="C33"/>
    </sheetView>
  </sheetViews>
  <sheetFormatPr baseColWidth="10" defaultColWidth="8.83203125" defaultRowHeight="15"/>
  <cols>
    <col width="26" customWidth="1" style="36" min="1" max="2"/>
    <col width="30" customWidth="1" style="36" min="3" max="4"/>
    <col width="20" customWidth="1" style="36" min="5" max="8"/>
  </cols>
  <sheetData>
    <row r="1" ht="60" customHeight="1" s="36">
      <c r="A1" s="63" t="inlineStr">
        <is>
          <t>MATRIZ DE TRAZABILIDAD DE REQUISITOS</t>
        </is>
      </c>
    </row>
    <row r="2" ht="24" customHeight="1" s="36">
      <c r="A2" s="118" t="inlineStr">
        <is>
          <t>Plantilla estándar para proyectos de desarrollo de software · Versión 1.0</t>
        </is>
      </c>
    </row>
    <row r="3" ht="6" customHeight="1" s="36"/>
    <row r="4">
      <c r="A4" s="37" t="inlineStr">
        <is>
          <t>¿QUÉ ES ESTA PLANTILLA?</t>
        </is>
      </c>
      <c r="B4" s="119" t="n"/>
      <c r="C4" s="119" t="n"/>
      <c r="D4" s="119" t="n"/>
      <c r="E4" s="119" t="n"/>
      <c r="F4" s="119" t="n"/>
      <c r="G4" s="119" t="n"/>
      <c r="H4" s="120" t="n"/>
    </row>
    <row r="5">
      <c r="A5" s="38" t="inlineStr">
        <is>
          <t>Esta plantilla permite rastrear cada necesidad de negocio a través de todo el ciclo de vida del software: desde el requisito que la documenta, hasta los casos de prueba que la verifican y el código que la implementa. Cuando un requisito cambia, la matriz muestra de inmediato qué otros artefactos deben actualizarse, evitando el scope creep silencioso y las regresiones no detectadas.</t>
        </is>
      </c>
      <c r="B5" s="121" t="n"/>
      <c r="C5" s="121" t="n"/>
      <c r="D5" s="121" t="n"/>
      <c r="E5" s="121" t="n"/>
      <c r="F5" s="121" t="n"/>
      <c r="G5" s="121" t="n"/>
      <c r="H5" s="122" t="n"/>
    </row>
    <row r="6">
      <c r="A6" s="123" t="n"/>
      <c r="H6" s="124" t="n"/>
    </row>
    <row r="7">
      <c r="A7" s="123" t="n"/>
      <c r="H7" s="124" t="n"/>
    </row>
    <row r="8">
      <c r="A8" s="125" t="n"/>
      <c r="B8" s="126" t="n"/>
      <c r="C8" s="126" t="n"/>
      <c r="D8" s="126" t="n"/>
      <c r="E8" s="126" t="n"/>
      <c r="F8" s="126" t="n"/>
      <c r="G8" s="126" t="n"/>
      <c r="H8" s="127" t="n"/>
    </row>
    <row r="9">
      <c r="A9" s="37" t="inlineStr">
        <is>
          <t>ESTRUCTURA DE LA PLANTILLA</t>
        </is>
      </c>
      <c r="B9" s="119" t="n"/>
      <c r="C9" s="119" t="n"/>
      <c r="D9" s="119" t="n"/>
      <c r="E9" s="119" t="n"/>
      <c r="F9" s="119" t="n"/>
      <c r="G9" s="119" t="n"/>
      <c r="H9" s="120" t="n"/>
    </row>
    <row r="10" ht="22" customHeight="1" s="36">
      <c r="A10" s="116" t="inlineStr">
        <is>
          <t>📋 Matriz principal</t>
        </is>
      </c>
      <c r="B10" s="128" t="n"/>
      <c r="C10" s="38" t="inlineStr">
        <is>
          <t>Hoja central. Cada fila es un requisito. Registra origen, especificación, pruebas, estado y RFC asociada.</t>
        </is>
      </c>
      <c r="D10" s="119" t="n"/>
      <c r="E10" s="119" t="n"/>
      <c r="F10" s="119" t="n"/>
      <c r="G10" s="119" t="n"/>
      <c r="H10" s="120" t="n"/>
    </row>
    <row r="11" ht="22" customHeight="1" s="36">
      <c r="A11" s="116" t="inlineStr">
        <is>
          <t>🔗 Trazabilidad visual</t>
        </is>
      </c>
      <c r="B11" s="128" t="n"/>
      <c r="C11" s="38" t="inlineStr">
        <is>
          <t>Vista cruzada (requisitos × artefactos). Un ✓ en cada celda indica que el artefacto cubre ese requisito.</t>
        </is>
      </c>
      <c r="D11" s="119" t="n"/>
      <c r="E11" s="119" t="n"/>
      <c r="F11" s="119" t="n"/>
      <c r="G11" s="119" t="n"/>
      <c r="H11" s="120" t="n"/>
    </row>
    <row r="12" ht="22" customHeight="1" s="36">
      <c r="A12" s="116" t="inlineStr">
        <is>
          <t>📊 Resumen y métricas</t>
        </is>
      </c>
      <c r="B12" s="128" t="n"/>
      <c r="C12" s="38" t="inlineStr">
        <is>
          <t>Dashboard automático: % de cobertura, requisitos sin prueba, cambios pendientes y semáforo de salud.</t>
        </is>
      </c>
      <c r="D12" s="119" t="n"/>
      <c r="E12" s="119" t="n"/>
      <c r="F12" s="119" t="n"/>
      <c r="G12" s="119" t="n"/>
      <c r="H12" s="120" t="n"/>
    </row>
    <row r="13" ht="22" customHeight="1" s="36">
      <c r="A13" s="116" t="inlineStr">
        <is>
          <t>📝 Registro de RFCs</t>
        </is>
      </c>
      <c r="B13" s="128" t="n"/>
      <c r="C13" s="38" t="inlineStr">
        <is>
          <t>Historial de todas las Solicitudes de Cambio procesadas, con estado y artefactos impactados.</t>
        </is>
      </c>
      <c r="D13" s="119" t="n"/>
      <c r="E13" s="119" t="n"/>
      <c r="F13" s="119" t="n"/>
      <c r="G13" s="119" t="n"/>
      <c r="H13" s="120" t="n"/>
    </row>
    <row r="14" ht="22" customHeight="1" s="36">
      <c r="A14" s="116" t="inlineStr">
        <is>
          <t>🗂️ Catálogo de artefactos</t>
        </is>
      </c>
      <c r="B14" s="128" t="n"/>
      <c r="C14" s="38" t="inlineStr">
        <is>
          <t>Inventario de todos los documentos, módulos de código y casos de prueba referenciados en la matriz.</t>
        </is>
      </c>
      <c r="D14" s="119" t="n"/>
      <c r="E14" s="119" t="n"/>
      <c r="F14" s="119" t="n"/>
      <c r="G14" s="119" t="n"/>
      <c r="H14" s="120" t="n"/>
    </row>
    <row r="15" ht="8" customHeight="1" s="36"/>
    <row r="16">
      <c r="A16" s="40" t="inlineStr">
        <is>
          <t>GUÍA DE COLORES Y ESTADOS</t>
        </is>
      </c>
      <c r="B16" s="119" t="n"/>
      <c r="C16" s="119" t="n"/>
      <c r="D16" s="119" t="n"/>
      <c r="E16" s="119" t="n"/>
      <c r="F16" s="119" t="n"/>
      <c r="G16" s="119" t="n"/>
      <c r="H16" s="120" t="n"/>
    </row>
    <row r="17" ht="20" customHeight="1" s="36">
      <c r="A17" s="42" t="inlineStr">
        <is>
          <t>Activo / Aprobado / Completado</t>
        </is>
      </c>
      <c r="B17" s="119" t="n"/>
      <c r="C17" s="120" t="n"/>
      <c r="D17" s="39" t="inlineStr">
        <is>
          <t>El requisito o artefacto está en uso y verificado.</t>
        </is>
      </c>
      <c r="E17" s="119" t="n"/>
      <c r="F17" s="119" t="n"/>
      <c r="G17" s="119" t="n"/>
      <c r="H17" s="120" t="n"/>
    </row>
    <row r="18" ht="20" customHeight="1" s="36">
      <c r="A18" s="45" t="inlineStr">
        <is>
          <t>En desarrollo / Pendiente de revisión</t>
        </is>
      </c>
      <c r="B18" s="119" t="n"/>
      <c r="C18" s="120" t="n"/>
      <c r="D18" s="39" t="inlineStr">
        <is>
          <t>Trabajo en curso. Requiere seguimiento.</t>
        </is>
      </c>
      <c r="E18" s="119" t="n"/>
      <c r="F18" s="119" t="n"/>
      <c r="G18" s="119" t="n"/>
      <c r="H18" s="120" t="n"/>
    </row>
    <row r="19" ht="20" customHeight="1" s="36">
      <c r="A19" s="44" t="inlineStr">
        <is>
          <t>Rechazado / Bloqueado / Sin cobertura</t>
        </is>
      </c>
      <c r="B19" s="119" t="n"/>
      <c r="C19" s="120" t="n"/>
      <c r="D19" s="39" t="inlineStr">
        <is>
          <t>Requiere acción inmediata. No puede cerrarse el ciclo.</t>
        </is>
      </c>
      <c r="E19" s="119" t="n"/>
      <c r="F19" s="119" t="n"/>
      <c r="G19" s="119" t="n"/>
      <c r="H19" s="120" t="n"/>
    </row>
    <row r="20" ht="20" customHeight="1" s="36">
      <c r="A20" s="43" t="inlineStr">
        <is>
          <t>Propuesto / En análisis</t>
        </is>
      </c>
      <c r="B20" s="119" t="n"/>
      <c r="C20" s="120" t="n"/>
      <c r="D20" s="39" t="inlineStr">
        <is>
          <t>RFC o requisito recién ingresado, aún no evaluado.</t>
        </is>
      </c>
      <c r="E20" s="119" t="n"/>
      <c r="F20" s="119" t="n"/>
      <c r="G20" s="119" t="n"/>
      <c r="H20" s="120" t="n"/>
    </row>
    <row r="21" ht="20" customHeight="1" s="36">
      <c r="A21" s="46" t="inlineStr">
        <is>
          <t>Aplazado / En espera de decisión</t>
        </is>
      </c>
      <c r="B21" s="119" t="n"/>
      <c r="C21" s="120" t="n"/>
      <c r="D21" s="39" t="inlineStr">
        <is>
          <t>El CCB ha pospuesto la decisión a una iteración futura.</t>
        </is>
      </c>
      <c r="E21" s="119" t="n"/>
      <c r="F21" s="119" t="n"/>
      <c r="G21" s="119" t="n"/>
      <c r="H21" s="120" t="n"/>
    </row>
    <row r="22" ht="20" customHeight="1" s="36">
      <c r="A22" s="41" t="inlineStr">
        <is>
          <t>Archivado / Fuera de alcance</t>
        </is>
      </c>
      <c r="B22" s="119" t="n"/>
      <c r="C22" s="120" t="n"/>
      <c r="D22" s="39" t="inlineStr">
        <is>
          <t>No aplica al sprint actual. Conservado por trazabilidad histórica.</t>
        </is>
      </c>
      <c r="E22" s="119" t="n"/>
      <c r="F22" s="119" t="n"/>
      <c r="G22" s="119" t="n"/>
      <c r="H22" s="120" t="n"/>
    </row>
    <row r="23" ht="8" customHeight="1" s="36"/>
    <row r="24">
      <c r="A24" s="40" t="inlineStr">
        <is>
          <t>FLUJO DE TRABAJO RECOMENDADO</t>
        </is>
      </c>
      <c r="B24" s="119" t="n"/>
      <c r="C24" s="119" t="n"/>
      <c r="D24" s="119" t="n"/>
      <c r="E24" s="119" t="n"/>
      <c r="F24" s="119" t="n"/>
      <c r="G24" s="119" t="n"/>
      <c r="H24" s="120" t="n"/>
    </row>
    <row r="25" ht="20" customHeight="1" s="36">
      <c r="A25" s="115" t="inlineStr">
        <is>
          <t>1. Al iniciar el proyecto, registra todas las necesidades de negocio en la columna 'ID Necesidad' de la Matriz principal.</t>
        </is>
      </c>
      <c r="B25" s="119" t="n"/>
      <c r="C25" s="119" t="n"/>
      <c r="D25" s="119" t="n"/>
      <c r="E25" s="119" t="n"/>
      <c r="F25" s="119" t="n"/>
      <c r="G25" s="119" t="n"/>
      <c r="H25" s="120" t="n"/>
    </row>
    <row r="26" ht="20" customHeight="1" s="36">
      <c r="A26" s="38" t="inlineStr">
        <is>
          <t>2. Para cada necesidad, crea al menos un requisito en la hoja Matriz principal. Completa todas las columnas.</t>
        </is>
      </c>
      <c r="B26" s="119" t="n"/>
      <c r="C26" s="119" t="n"/>
      <c r="D26" s="119" t="n"/>
      <c r="E26" s="119" t="n"/>
      <c r="F26" s="119" t="n"/>
      <c r="G26" s="119" t="n"/>
      <c r="H26" s="120" t="n"/>
    </row>
    <row r="27" ht="20" customHeight="1" s="36">
      <c r="A27" s="115" t="inlineStr">
        <is>
          <t>3. A medida que avanza el desarrollo, actualiza 'ID Código', 'ID Caso de prueba' y 'Resultado prueba'.</t>
        </is>
      </c>
      <c r="B27" s="119" t="n"/>
      <c r="C27" s="119" t="n"/>
      <c r="D27" s="119" t="n"/>
      <c r="E27" s="119" t="n"/>
      <c r="F27" s="119" t="n"/>
      <c r="G27" s="119" t="n"/>
      <c r="H27" s="120" t="n"/>
    </row>
    <row r="28" ht="20" customHeight="1" s="36">
      <c r="A28" s="38" t="inlineStr">
        <is>
          <t>4. Cuando llegue una RFC, regístrala en la hoja 'Registro de RFCs' y actualiza las filas afectadas en la Matriz principal.</t>
        </is>
      </c>
      <c r="B28" s="119" t="n"/>
      <c r="C28" s="119" t="n"/>
      <c r="D28" s="119" t="n"/>
      <c r="E28" s="119" t="n"/>
      <c r="F28" s="119" t="n"/>
      <c r="G28" s="119" t="n"/>
      <c r="H28" s="120" t="n"/>
    </row>
    <row r="29" ht="20" customHeight="1" s="36">
      <c r="A29" s="115" t="inlineStr">
        <is>
          <t>5. Usa la hoja 'Trazabilidad visual' para detectar requisitos sin cobertura (celdas vacías en columnas de artefactos).</t>
        </is>
      </c>
      <c r="B29" s="119" t="n"/>
      <c r="C29" s="119" t="n"/>
      <c r="D29" s="119" t="n"/>
      <c r="E29" s="119" t="n"/>
      <c r="F29" s="119" t="n"/>
      <c r="G29" s="119" t="n"/>
      <c r="H29" s="120" t="n"/>
    </row>
    <row r="30" ht="20" customHeight="1" s="36">
      <c r="A30" s="38" t="inlineStr">
        <is>
          <t>6. Revisa el 'Resumen y métricas' antes de cada reunión del CCB o revisión de sprint.</t>
        </is>
      </c>
      <c r="B30" s="119" t="n"/>
      <c r="C30" s="119" t="n"/>
      <c r="D30" s="119" t="n"/>
      <c r="E30" s="119" t="n"/>
      <c r="F30" s="119" t="n"/>
      <c r="G30" s="119" t="n"/>
      <c r="H30" s="120" t="n"/>
    </row>
    <row r="31" ht="20" customHeight="1" s="36">
      <c r="A31" s="115" t="inlineStr">
        <is>
          <t>7. Al cerrar el proyecto, archiva la matriz completa junto con el SRS y el informe de lecciones aprendidas.</t>
        </is>
      </c>
      <c r="B31" s="119" t="n"/>
      <c r="C31" s="119" t="n"/>
      <c r="D31" s="119" t="n"/>
      <c r="E31" s="119" t="n"/>
      <c r="F31" s="119" t="n"/>
      <c r="G31" s="119" t="n"/>
      <c r="H31" s="120" t="n"/>
    </row>
    <row r="33" ht="22" customHeight="1" s="36">
      <c r="A33" s="40" t="inlineStr">
        <is>
          <t>CÓMO SE GENERÓ ESTA MATRIZ (caso 3: Dietas al día)</t>
        </is>
      </c>
      <c r="B33" s="40" t="n"/>
      <c r="C33" s="40" t="n"/>
      <c r="D33" s="40" t="n"/>
      <c r="E33" s="40" t="n"/>
      <c r="F33" s="40" t="n"/>
      <c r="G33" s="40" t="n"/>
      <c r="H33" s="40" t="n"/>
    </row>
    <row r="34" ht="31" customHeight="1" s="36">
      <c r="A34" s="115" t="inlineStr">
        <is>
          <t>Generada el 2026-09-21 con trazabilidad/generar_matriz.py sobre el commit c43e63b (con cambios sin confirmar). 13 pruebas automáticas ejecutadas. No edites las hojas a mano: cambia el repositorio y vuelve a ejecutar el script.</t>
        </is>
      </c>
      <c r="B34" s="115" t="n"/>
      <c r="C34" s="115" t="n"/>
      <c r="D34" s="115" t="n"/>
      <c r="E34" s="115" t="n"/>
      <c r="F34" s="115" t="n"/>
      <c r="G34" s="115" t="n"/>
      <c r="H34" s="115" t="n"/>
    </row>
    <row r="35" ht="31" customHeight="1" s="36">
      <c r="A35" s="115" t="inlineStr">
        <is>
          <t>Caso elegido: caso 3, Dietas al día (caso3-dietas), el único con código. Requisitos, prioridad y criterios de aceptación: tabla de la sección 2 (y criterios de la sección 6) de caso3-dietas/docs/Documento_de_validacion.md. Prioridad Alta = Must have; Media = Should have.</t>
        </is>
      </c>
      <c r="B35" s="115" t="n"/>
      <c r="C35" s="115" t="n"/>
      <c r="D35" s="115" t="n"/>
      <c r="E35" s="115" t="n"/>
      <c r="F35" s="115" t="n"/>
      <c r="G35" s="115" t="n"/>
      <c r="H35" s="115" t="n"/>
    </row>
    <row r="36" ht="31" customHeight="1" s="36">
      <c r="A36" s="115" t="inlineStr">
        <is>
          <t>Código: etiquetas de requisito en los comentarios de caso3-dietas/src. Pruebas automáticas: caso3-dietas/tests/logic.test.js (resultado de la ejecución). Pruebas manuales: caso3-dietas/tests/escenarios_manuales.md (el resultado lo registra quien las ejecuta).</t>
        </is>
      </c>
      <c r="B36" s="115" t="n"/>
      <c r="C36" s="115" t="n"/>
      <c r="D36" s="115" t="n"/>
      <c r="E36" s="115" t="n"/>
      <c r="F36" s="115" t="n"/>
      <c r="G36" s="115" t="n"/>
      <c r="H36" s="115" t="n"/>
    </row>
    <row r="37" ht="31" customHeight="1" s="36">
      <c r="A37" s="115" t="inlineStr">
        <is>
          <t>Estado actual (regla): sin código = Propuesto · con código y alguna prueba sin pasar = Implementado · todas sus pruebas en Pasado = Verificado · alguna prueba Fallida = En desarrollo.</t>
        </is>
      </c>
      <c r="B37" s="115" t="n"/>
      <c r="C37" s="115" t="n"/>
      <c r="D37" s="115" t="n"/>
      <c r="E37" s="115" t="n"/>
      <c r="F37" s="115" t="n"/>
      <c r="G37" s="115" t="n"/>
      <c r="H37" s="115" t="n"/>
    </row>
    <row r="38" ht="31" customHeight="1" s="36">
      <c r="A38" s="115" t="inlineStr">
        <is>
          <t>Metadatos de todos los artefactos de los 3 casos (ID único, versión, estado final, autor o revisor, fecha de cierre y artefactos relacionados): hoja «Catálogo de artefactos». Caso 3: leídos del encabezado de cada archivo; casos 1 y 2: de su METADATOS.md.</t>
        </is>
      </c>
      <c r="B38" s="115" t="n"/>
      <c r="C38" s="115" t="n"/>
      <c r="D38" s="115" t="n"/>
      <c r="E38" s="115" t="n"/>
      <c r="F38" s="115" t="n"/>
      <c r="G38" s="115" t="n"/>
      <c r="H38" s="115" t="n"/>
    </row>
    <row r="39" ht="31" customHeight="1" s="36">
      <c r="A39" s="115" t="inlineStr">
        <is>
          <t>Cambio respecto a la plantilla original: las fórmulas de cobertura dividían entre las celdas con ✓ (siempre daban 100 %), «Sin caso de prueba» no descontaba las filas vacías y «Bloqueados / Fallidos» ignoraba el resultado «Bloqueado» de las pruebas. Ya están corregidas.</t>
        </is>
      </c>
      <c r="B39" s="115" t="n"/>
      <c r="C39" s="115" t="n"/>
      <c r="D39" s="115" t="n"/>
      <c r="E39" s="115" t="n"/>
      <c r="F39" s="115" t="n"/>
      <c r="G39" s="115" t="n"/>
      <c r="H39" s="115" t="n"/>
    </row>
    <row r="40" ht="31" customHeight="1" s="36">
      <c r="A40" s="115" t="inlineStr">
        <is>
          <t>Hoja «Auditoría»: rupturas detectadas por el script (requisitos sin código o sin prueba, IDs huérfanos, metadatos incompletos, archivos que faltan, inconsistencias documento ↔ aplicación).</t>
        </is>
      </c>
      <c r="B40" s="115" t="n"/>
      <c r="C40" s="115" t="n"/>
      <c r="D40" s="115" t="n"/>
      <c r="E40" s="115" t="n"/>
      <c r="F40" s="115" t="n"/>
      <c r="G40" s="115" t="n"/>
      <c r="H40" s="115" t="n"/>
    </row>
    <row r="41"/>
  </sheetData>
  <mergeCells count="44">
    <mergeCell ref="A9:H9"/>
    <mergeCell ref="C10:H10"/>
    <mergeCell ref="A30:H30"/>
    <mergeCell ref="D20:H20"/>
    <mergeCell ref="A39:H39"/>
    <mergeCell ref="A24:H24"/>
    <mergeCell ref="A11:B11"/>
    <mergeCell ref="D19:H19"/>
    <mergeCell ref="A18:C18"/>
    <mergeCell ref="A36:H36"/>
    <mergeCell ref="A21:C21"/>
    <mergeCell ref="A1:H1"/>
    <mergeCell ref="C12:H12"/>
    <mergeCell ref="D22:H22"/>
    <mergeCell ref="C11:H11"/>
    <mergeCell ref="D21:H21"/>
    <mergeCell ref="A25:H25"/>
    <mergeCell ref="A16:H16"/>
    <mergeCell ref="A22:C22"/>
    <mergeCell ref="A17:C17"/>
    <mergeCell ref="A5:H8"/>
    <mergeCell ref="A37:H37"/>
    <mergeCell ref="A27:H27"/>
    <mergeCell ref="A20:C20"/>
    <mergeCell ref="D17:H17"/>
    <mergeCell ref="A12:B12"/>
    <mergeCell ref="A26:H26"/>
    <mergeCell ref="A19:C19"/>
    <mergeCell ref="C13:H13"/>
    <mergeCell ref="A2:H2"/>
    <mergeCell ref="A14:B14"/>
    <mergeCell ref="A33:H33"/>
    <mergeCell ref="D18:H18"/>
    <mergeCell ref="A40:H40"/>
    <mergeCell ref="A4:H4"/>
    <mergeCell ref="A29:H29"/>
    <mergeCell ref="C14:H14"/>
    <mergeCell ref="A35:H35"/>
    <mergeCell ref="A38:H38"/>
    <mergeCell ref="A10:B10"/>
    <mergeCell ref="A28:H28"/>
    <mergeCell ref="A13:B13"/>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3"/>
  <sheetViews>
    <sheetView showGridLines="0" workbookViewId="0">
      <pane ySplit="2" topLeftCell="A3" activePane="bottomLeft" state="frozen"/>
      <selection pane="bottomLeft" activeCell="A5" sqref="A5"/>
    </sheetView>
  </sheetViews>
  <sheetFormatPr baseColWidth="10" defaultColWidth="8.83203125" defaultRowHeight="15"/>
  <cols>
    <col width="12" customWidth="1" style="36" min="1" max="1"/>
    <col width="34" customWidth="1" style="36" min="2" max="2"/>
    <col width="13" customWidth="1" style="36" min="3" max="3"/>
    <col width="14" customWidth="1" style="36" min="4" max="4"/>
    <col width="22" customWidth="1" style="36" min="5" max="5"/>
    <col width="12" customWidth="1" style="36" min="6" max="6"/>
    <col width="13" customWidth="1" style="36" min="7" max="7"/>
    <col width="46" customWidth="1" style="36" min="8" max="8"/>
    <col width="34" customWidth="1" style="36" min="9" max="9"/>
    <col width="12" customWidth="1" style="36" min="10" max="10"/>
    <col width="20" customWidth="1" style="36" min="11" max="11"/>
    <col width="24" customWidth="1" style="36" min="12" max="14"/>
    <col width="12" customWidth="1" style="36" min="13" max="13"/>
    <col width="13" customWidth="1" style="36" min="14" max="14"/>
    <col width="15" customWidth="1" style="36" min="15" max="15"/>
    <col width="12" customWidth="1" style="36" min="16" max="16"/>
    <col width="14" customWidth="1" style="36" min="17" max="17"/>
    <col width="34" customWidth="1" style="36" min="18" max="18"/>
  </cols>
  <sheetData>
    <row r="1" ht="36" customHeight="1" s="36">
      <c r="A1" s="114" t="inlineStr">
        <is>
          <t>MATRIZ DE TRAZABILIDAD DE REQUISITOS — Hoja principal</t>
        </is>
      </c>
    </row>
    <row r="2" ht="36" customHeight="1" s="36">
      <c r="A2" s="108" t="inlineStr">
        <is>
          <t>IDENTIFICACIÓN</t>
        </is>
      </c>
      <c r="B2" s="129" t="n"/>
      <c r="C2" s="130" t="n"/>
      <c r="D2" s="109" t="inlineStr">
        <is>
          <t>ORIGEN</t>
        </is>
      </c>
      <c r="E2" s="131" t="n"/>
      <c r="F2" s="132" t="n"/>
      <c r="G2" s="110" t="inlineStr">
        <is>
          <t>ESPECIFICACIÓN</t>
        </is>
      </c>
      <c r="H2" s="133" t="n"/>
      <c r="I2" s="111" t="inlineStr">
        <is>
          <t>IMPLEMENTACIÓN</t>
        </is>
      </c>
      <c r="J2" s="134" t="n"/>
      <c r="K2" s="135" t="n"/>
      <c r="L2" s="112" t="inlineStr">
        <is>
          <t>VERIFICACIÓN</t>
        </is>
      </c>
      <c r="M2" s="136" t="n"/>
      <c r="N2" s="137" t="n"/>
      <c r="O2" s="113" t="inlineStr">
        <is>
          <t>ESTADO Y CAMBIOS</t>
        </is>
      </c>
      <c r="P2" s="138" t="n"/>
      <c r="Q2" s="138" t="n"/>
      <c r="R2" s="139" t="n"/>
    </row>
    <row r="3" ht="75" customHeight="1" s="36">
      <c r="A3" s="66" t="inlineStr">
        <is>
          <t>ID Requisito</t>
        </is>
      </c>
      <c r="B3" s="66" t="inlineStr">
        <is>
          <t>Título del requisito</t>
        </is>
      </c>
      <c r="C3" s="66" t="inlineStr">
        <is>
          <t>Tipo</t>
        </is>
      </c>
      <c r="D3" s="3" t="inlineStr">
        <is>
          <t>ID Necesidad
de negocio</t>
        </is>
      </c>
      <c r="E3" s="3" t="inlineStr">
        <is>
          <t>Stakeholder
solicitante</t>
        </is>
      </c>
      <c r="F3" s="3" t="inlineStr">
        <is>
          <t>Prioridad
(MoSCoW)</t>
        </is>
      </c>
      <c r="G3" s="4" t="inlineStr">
        <is>
          <t>Versión
SRS</t>
        </is>
      </c>
      <c r="H3" s="4" t="inlineStr">
        <is>
          <t>Criterios de
aceptación (resumen)</t>
        </is>
      </c>
      <c r="I3" s="5" t="inlineStr">
        <is>
          <t>ID Módulo /
Código</t>
        </is>
      </c>
      <c r="J3" s="5" t="inlineStr">
        <is>
          <t>Sprint
implementación</t>
        </is>
      </c>
      <c r="K3" s="5" t="inlineStr">
        <is>
          <t>Responsable
desarrollo</t>
        </is>
      </c>
      <c r="L3" s="6" t="inlineStr">
        <is>
          <t>ID Caso de
prueba</t>
        </is>
      </c>
      <c r="M3" s="6" t="inlineStr">
        <is>
          <t>Resultado
prueba</t>
        </is>
      </c>
      <c r="N3" s="6" t="inlineStr">
        <is>
          <t>Fecha última
prueba</t>
        </is>
      </c>
      <c r="O3" s="7" t="inlineStr">
        <is>
          <t>Estado actual</t>
        </is>
      </c>
      <c r="P3" s="7" t="inlineStr">
        <is>
          <t>RFC asociada</t>
        </is>
      </c>
      <c r="Q3" s="7" t="inlineStr">
        <is>
          <t>Última
actualización</t>
        </is>
      </c>
      <c r="R3" s="7" t="inlineStr">
        <is>
          <t>Notas / Observaciones</t>
        </is>
      </c>
    </row>
    <row r="4" ht="81" customHeight="1" s="36">
      <c r="A4" s="8" t="inlineStr">
        <is>
          <t>RF-A1</t>
        </is>
      </c>
      <c r="B4" s="38" t="inlineStr">
        <is>
          <t>Consultar la historia clínica del paciente</t>
        </is>
      </c>
      <c r="C4" s="9" t="inlineStr">
        <is>
          <t>Funcional</t>
        </is>
      </c>
      <c r="D4" s="38" t="inlineStr">
        <is>
          <t>EPC28</t>
        </is>
      </c>
      <c r="E4" s="38" t="inlineStr">
        <is>
          <t>Médico del Departamento de Nutrición</t>
        </is>
      </c>
      <c r="F4" s="14" t="inlineStr">
        <is>
          <t>Should have</t>
        </is>
      </c>
      <c r="G4" s="9" t="inlineStr">
        <is>
          <t>DOC-VAL v1.0</t>
        </is>
      </c>
      <c r="H4" s="38" t="inlineStr">
        <is>
          <t>CA1: Dado un paciente con al menos una enfermedad registrada, al abrir su ficha el sistema muestra las dietas asociadas a esa enfermedad sin acciones adicionales.</t>
        </is>
      </c>
      <c r="I4" s="38" t="inlineStr">
        <is>
          <t>data.js › PATIENTS_SEED
screens/PatientContext.jsx › PatientContext
screens/PatientView.jsx › PatientView › diseases
screens/Patients.jsx › Patients</t>
        </is>
      </c>
      <c r="J4" s="9" t="inlineStr">
        <is>
          <t>N/A</t>
        </is>
      </c>
      <c r="K4" s="38" t="inlineStr">
        <is>
          <t>Santiago Maya Horta</t>
        </is>
      </c>
      <c r="L4" s="9" t="inlineStr">
        <is>
          <t>TC-08, TC-M1</t>
        </is>
      </c>
      <c r="M4" s="14" t="inlineStr">
        <is>
          <t>Pendiente</t>
        </is>
      </c>
      <c r="N4" s="9" t="inlineStr">
        <is>
          <t>2026-09-21</t>
        </is>
      </c>
      <c r="O4" s="14" t="inlineStr">
        <is>
          <t>Implementado</t>
        </is>
      </c>
      <c r="P4" s="9" t="n"/>
      <c r="Q4" s="9" t="inlineStr">
        <is>
          <t>2026-09-21</t>
        </is>
      </c>
      <c r="R4" s="38" t="inlineStr">
        <is>
          <t>Pruebas: 1 pasadas, 0 fallidas, 1 pendientes.</t>
        </is>
      </c>
    </row>
    <row r="5" ht="56" customHeight="1" s="36">
      <c r="A5" s="12" t="inlineStr">
        <is>
          <t>RF-A2</t>
        </is>
      </c>
      <c r="B5" s="2" t="inlineStr">
        <is>
          <t>Ver las dietas de la enfermedad del paciente en un paso</t>
        </is>
      </c>
      <c r="C5" s="9" t="inlineStr">
        <is>
          <t>Funcional</t>
        </is>
      </c>
      <c r="D5" s="2" t="inlineStr">
        <is>
          <t>EPC28</t>
        </is>
      </c>
      <c r="E5" s="2" t="inlineStr">
        <is>
          <t>Médico del Departamento de Nutrición</t>
        </is>
      </c>
      <c r="F5" s="10" t="inlineStr">
        <is>
          <t>Must have</t>
        </is>
      </c>
      <c r="G5" s="13" t="inlineStr">
        <is>
          <t>DOC-VAL v1.0</t>
        </is>
      </c>
      <c r="H5" s="2" t="inlineStr">
        <is>
          <t>CA1: Dado un paciente con al menos una enfermedad registrada, al abrir su ficha el sistema muestra las dietas asociadas a esa enfermedad sin acciones adicionales.</t>
        </is>
      </c>
      <c r="I5" s="2" t="inlineStr">
        <is>
          <t>data.js › DIETS
data.js › DISEASES
screens/PatientView.jsx › PatientView › rows</t>
        </is>
      </c>
      <c r="J5" s="13" t="inlineStr">
        <is>
          <t>N/A</t>
        </is>
      </c>
      <c r="K5" s="2" t="inlineStr">
        <is>
          <t>Santiago Maya Horta</t>
        </is>
      </c>
      <c r="L5" s="13" t="inlineStr">
        <is>
          <t>TC-06, TC-07, TC-M1</t>
        </is>
      </c>
      <c r="M5" s="14" t="inlineStr">
        <is>
          <t>Pendiente</t>
        </is>
      </c>
      <c r="N5" s="13" t="inlineStr">
        <is>
          <t>2026-09-21</t>
        </is>
      </c>
      <c r="O5" s="14" t="inlineStr">
        <is>
          <t>Implementado</t>
        </is>
      </c>
      <c r="P5" s="13" t="n"/>
      <c r="Q5" s="13" t="inlineStr">
        <is>
          <t>2026-09-21</t>
        </is>
      </c>
      <c r="R5" s="2" t="inlineStr">
        <is>
          <t>Pruebas: 2 pasadas, 0 fallidas, 1 pendientes.</t>
        </is>
      </c>
    </row>
    <row r="6" ht="56" customHeight="1" s="36">
      <c r="A6" s="8" t="inlineStr">
        <is>
          <t>RF-A3</t>
        </is>
      </c>
      <c r="B6" s="38" t="inlineStr">
        <is>
          <t>Señalar alergias e incompatibilidades en cada dieta</t>
        </is>
      </c>
      <c r="C6" s="9" t="inlineStr">
        <is>
          <t>Funcional</t>
        </is>
      </c>
      <c r="D6" s="38" t="inlineStr">
        <is>
          <t>EPC28</t>
        </is>
      </c>
      <c r="E6" s="38" t="inlineStr">
        <is>
          <t>Médico del Departamento de Nutrición</t>
        </is>
      </c>
      <c r="F6" s="10" t="inlineStr">
        <is>
          <t>Must have</t>
        </is>
      </c>
      <c r="G6" s="9" t="inlineStr">
        <is>
          <t>DOC-VAL v1.0</t>
        </is>
      </c>
      <c r="H6" s="38" t="inlineStr">
        <is>
          <t>CA2: Si una dieta incluye un alimento cuyo alérgeno figura entre las alergias del paciente, o cuya sustancia figura entre sus incompatibilidades, la lista muestra, sin interacción adicional, el alimento y…</t>
        </is>
      </c>
      <c r="I6" s="38" t="inlineStr">
        <is>
          <t>data.js › FOODS
logic.js › analyzeDiet
screens/AssignModal.jsx › AssignModal
screens/PatientView.jsx › statusChip</t>
        </is>
      </c>
      <c r="J6" s="9" t="inlineStr">
        <is>
          <t>N/A</t>
        </is>
      </c>
      <c r="K6" s="38" t="inlineStr">
        <is>
          <t>Santiago Maya Horta</t>
        </is>
      </c>
      <c r="L6" s="9" t="inlineStr">
        <is>
          <t>TC-01, TC-02, TC-03, TC-04, TC-05, TC-09, TC-11, TC-12, TC-13, TC-M2</t>
        </is>
      </c>
      <c r="M6" s="14" t="inlineStr">
        <is>
          <t>Pendiente</t>
        </is>
      </c>
      <c r="N6" s="9" t="inlineStr">
        <is>
          <t>2026-09-21</t>
        </is>
      </c>
      <c r="O6" s="14" t="inlineStr">
        <is>
          <t>Implementado</t>
        </is>
      </c>
      <c r="P6" s="9" t="n"/>
      <c r="Q6" s="9" t="inlineStr">
        <is>
          <t>2026-09-21</t>
        </is>
      </c>
      <c r="R6" s="38" t="inlineStr">
        <is>
          <t>Pruebas: 9 pasadas, 0 fallidas, 1 pendientes.</t>
        </is>
      </c>
    </row>
    <row r="7" ht="56" customHeight="1" s="36">
      <c r="A7" s="12" t="inlineStr">
        <is>
          <t>RF-A4</t>
        </is>
      </c>
      <c r="B7" s="2" t="inlineStr">
        <is>
          <t>Abrir la ficha técnica sin perder al paciente</t>
        </is>
      </c>
      <c r="C7" s="9" t="inlineStr">
        <is>
          <t>Funcional</t>
        </is>
      </c>
      <c r="D7" s="2" t="inlineStr">
        <is>
          <t>EPC28</t>
        </is>
      </c>
      <c r="E7" s="2" t="inlineStr">
        <is>
          <t>Médico del Departamento de Nutrición</t>
        </is>
      </c>
      <c r="F7" s="10" t="inlineStr">
        <is>
          <t>Must have</t>
        </is>
      </c>
      <c r="G7" s="13" t="inlineStr">
        <is>
          <t>DOC-VAL v1.0</t>
        </is>
      </c>
      <c r="H7" s="2" t="inlineStr">
        <is>
          <t>CA3: Desde la lista, el médico abre en un clic una ficha con los diez campos de la dieta (objetivos, definición técnica, aporte calórico, componentes, ingesta necesaria, vía de administración, duración, d…</t>
        </is>
      </c>
      <c r="I7" s="2" t="inlineStr">
        <is>
          <t>data.js › DIETS
screens/DietDrawer.jsx › DietDrawer
screens/PatientContext.jsx › PatientContext</t>
        </is>
      </c>
      <c r="J7" s="13" t="inlineStr">
        <is>
          <t>N/A</t>
        </is>
      </c>
      <c r="K7" s="2" t="inlineStr">
        <is>
          <t>Santiago Maya Horta</t>
        </is>
      </c>
      <c r="L7" s="13" t="inlineStr">
        <is>
          <t>TC-10, TC-11, TC-M3</t>
        </is>
      </c>
      <c r="M7" s="14" t="inlineStr">
        <is>
          <t>Pendiente</t>
        </is>
      </c>
      <c r="N7" s="13" t="inlineStr">
        <is>
          <t>2026-09-21</t>
        </is>
      </c>
      <c r="O7" s="14" t="inlineStr">
        <is>
          <t>Implementado</t>
        </is>
      </c>
      <c r="P7" s="13" t="n"/>
      <c r="Q7" s="13" t="inlineStr">
        <is>
          <t>2026-09-21</t>
        </is>
      </c>
      <c r="R7" s="2" t="inlineStr">
        <is>
          <t>Pruebas: 2 pasadas, 0 fallidas, 1 pendientes.</t>
        </is>
      </c>
    </row>
    <row r="8" ht="56" customHeight="1" s="36">
      <c r="A8" s="8" t="inlineStr">
        <is>
          <t>RF-A5</t>
        </is>
      </c>
      <c r="B8" s="38" t="inlineStr">
        <is>
          <t>Confirmar y registrar la asignación</t>
        </is>
      </c>
      <c r="C8" s="9" t="inlineStr">
        <is>
          <t>Funcional</t>
        </is>
      </c>
      <c r="D8" s="38" t="inlineStr">
        <is>
          <t>EPC28</t>
        </is>
      </c>
      <c r="E8" s="38" t="inlineStr">
        <is>
          <t>Médico del Departamento de Nutrición</t>
        </is>
      </c>
      <c r="F8" s="10" t="inlineStr">
        <is>
          <t>Must have</t>
        </is>
      </c>
      <c r="G8" s="9" t="inlineStr">
        <is>
          <t>DOC-VAL v1.0</t>
        </is>
      </c>
      <c r="H8" s="38" t="inlineStr">
        <is>
          <t>CA4: Al menos 4 de 5 usuarios nuevos, sin ayuda, eligen y confirman una dieta sin alertas en menos de 90 segundos, contados desde que abren la ficha del paciente.</t>
        </is>
      </c>
      <c r="I8" s="38" t="inlineStr">
        <is>
          <t>App.jsx › App › assign
screens/AssignModal.jsx › AssignModal
screens/PatientView.jsx › PatientView › confirm</t>
        </is>
      </c>
      <c r="J8" s="9" t="inlineStr">
        <is>
          <t>N/A</t>
        </is>
      </c>
      <c r="K8" s="38" t="inlineStr">
        <is>
          <t>Santiago Maya Horta</t>
        </is>
      </c>
      <c r="L8" s="9" t="inlineStr">
        <is>
          <t>TC-M4, TC-M5</t>
        </is>
      </c>
      <c r="M8" s="14" t="inlineStr">
        <is>
          <t>Pendiente</t>
        </is>
      </c>
      <c r="N8" s="9" t="n"/>
      <c r="O8" s="14" t="inlineStr">
        <is>
          <t>Implementado</t>
        </is>
      </c>
      <c r="P8" s="9" t="n"/>
      <c r="Q8" s="9" t="inlineStr">
        <is>
          <t>2026-09-21</t>
        </is>
      </c>
      <c r="R8" s="38" t="inlineStr">
        <is>
          <t>Pruebas: 0 pasadas, 0 fallidas, 2 pendientes.</t>
        </is>
      </c>
    </row>
    <row r="9" ht="56" customHeight="1" s="36">
      <c r="A9" s="12" t="inlineStr">
        <is>
          <t>RNF-1</t>
        </is>
      </c>
      <c r="B9" s="2" t="inlineStr">
        <is>
          <t>Un usuario nuevo elige una dieta segura en menos de 90 s…</t>
        </is>
      </c>
      <c r="C9" s="9" t="inlineStr">
        <is>
          <t>No funcional</t>
        </is>
      </c>
      <c r="D9" s="2" t="inlineStr">
        <is>
          <t>EPC28</t>
        </is>
      </c>
      <c r="E9" s="2" t="inlineStr">
        <is>
          <t>Médico del Departamento de Nutrición</t>
        </is>
      </c>
      <c r="F9" s="10" t="inlineStr">
        <is>
          <t>Must have</t>
        </is>
      </c>
      <c r="G9" s="13" t="inlineStr">
        <is>
          <t>DOC-VAL v1.0</t>
        </is>
      </c>
      <c r="H9" s="2" t="inlineStr">
        <is>
          <t>CA4: Al menos 4 de 5 usuarios nuevos, sin ayuda, eligen y confirman una dieta sin alertas en menos de 90 segundos, contados desde que abren la ficha del paciente.</t>
        </is>
      </c>
      <c r="I9" s="2" t="inlineStr">
        <is>
          <t>screens/PatientView.jsx › PatientView › confirm
screens/PatientView.jsx › PatientView › started</t>
        </is>
      </c>
      <c r="J9" s="13" t="inlineStr">
        <is>
          <t>N/A</t>
        </is>
      </c>
      <c r="K9" s="2" t="inlineStr">
        <is>
          <t>Santiago Maya Horta</t>
        </is>
      </c>
      <c r="L9" s="13" t="inlineStr">
        <is>
          <t>TC-M4</t>
        </is>
      </c>
      <c r="M9" s="14" t="inlineStr">
        <is>
          <t>Pendiente</t>
        </is>
      </c>
      <c r="N9" s="13" t="n"/>
      <c r="O9" s="14" t="inlineStr">
        <is>
          <t>Implementado</t>
        </is>
      </c>
      <c r="P9" s="13" t="n"/>
      <c r="Q9" s="13" t="inlineStr">
        <is>
          <t>2026-09-21</t>
        </is>
      </c>
      <c r="R9" s="2" t="inlineStr">
        <is>
          <t>Pruebas: 0 pasadas, 0 fallidas, 1 pendientes.</t>
        </is>
      </c>
    </row>
    <row r="10" ht="24" customHeight="1" s="36"/>
    <row r="11" ht="24" customHeight="1" s="36"/>
    <row r="12" ht="24" customHeight="1" s="36"/>
    <row r="13" ht="24" customHeight="1" s="36"/>
    <row r="14" ht="24" customHeight="1" s="36"/>
    <row r="15" ht="24" customHeight="1" s="36"/>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sheetData>
  <mergeCells count="7">
    <mergeCell ref="D2:F2"/>
    <mergeCell ref="I2:K2"/>
    <mergeCell ref="G2:H2"/>
    <mergeCell ref="O2:R2"/>
    <mergeCell ref="A1:R1"/>
    <mergeCell ref="L2:N2"/>
    <mergeCell ref="A2:C2"/>
  </mergeCells>
  <dataValidations count="4">
    <dataValidation sqref="C4:C103" showDropDown="0" showInputMessage="0" showErrorMessage="0" allowBlank="1" type="list">
      <formula1>"Funcional,No funcional,Restricción,Interfaz,Rendimiento,Seguridad"</formula1>
    </dataValidation>
    <dataValidation sqref="F4:F103" showDropDown="0" showInputMessage="0" showErrorMessage="0" allowBlank="1" type="list">
      <formula1>"Must have,Should have,Could have,Won't have"</formula1>
    </dataValidation>
    <dataValidation sqref="M4:M103" showDropDown="0" showInputMessage="0" showErrorMessage="0" allowBlank="1" type="list">
      <formula1>"Pasado,Fallido,Bloqueado,Pendiente,N/A"</formula1>
    </dataValidation>
    <dataValidation sqref="O4:O103" showDropDown="0" showInputMessage="0" showErrorMessage="0" allowBlank="1" type="list">
      <formula1>"Propuesto,Aprobado,En desarrollo,Implementado,Verificado,Aplazado,Rechazado,Archivado"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2"/>
  <sheetViews>
    <sheetView showGridLines="0" workbookViewId="0">
      <pane xSplit="2" ySplit="3" topLeftCell="C4" activePane="bottomRight" state="frozen"/>
      <selection pane="topRight"/>
      <selection pane="bottomLeft"/>
      <selection pane="bottomRight" activeCell="A1" sqref="A1"/>
      <selection pane="bottomLeft" activeCell="A1" sqref="A1"/>
      <selection pane="bottomRight" activeCell="E20" sqref="E20"/>
    </sheetView>
  </sheetViews>
  <sheetFormatPr baseColWidth="10" defaultColWidth="8.83203125" defaultRowHeight="15"/>
  <cols>
    <col width="12" customWidth="1" style="36" min="1" max="1"/>
    <col width="50" customWidth="1" style="36" min="2" max="2"/>
    <col width="11" customWidth="1" style="36" min="3" max="14"/>
    <col width="5.5" customWidth="1" style="36" min="4" max="4"/>
    <col width="5.5" customWidth="1" style="36" min="5" max="5"/>
    <col width="5.5" customWidth="1" style="36" min="6" max="6"/>
    <col width="5.5" customWidth="1" style="36" min="7" max="7"/>
    <col width="5.5" customWidth="1" style="36" min="8" max="8"/>
    <col width="5.5" customWidth="1" style="36" min="9" max="9"/>
    <col width="5.5" customWidth="1" style="36" min="10" max="10"/>
    <col width="5.5" customWidth="1" style="36" min="11" max="11"/>
    <col width="5.5" customWidth="1" style="36" min="12" max="12"/>
    <col width="5.5" customWidth="1" style="36" min="13" max="13"/>
    <col width="5.5" customWidth="1" style="36" min="14" max="14"/>
    <col width="5.5" customWidth="1" style="36" min="15" max="15"/>
    <col width="5.5" customWidth="1" style="36" min="16" max="16"/>
    <col width="5.5" customWidth="1" style="36" min="17" max="17"/>
    <col width="5.5" customWidth="1" style="36" min="18" max="18"/>
    <col width="5.5" customWidth="1" style="36" min="19" max="19"/>
    <col width="5.5" customWidth="1" style="36" min="20" max="20"/>
    <col width="5.5" customWidth="1" style="36" min="21" max="21"/>
    <col width="5.5" customWidth="1" style="36" min="22" max="22"/>
    <col width="5.5" customWidth="1" style="36" min="23" max="23"/>
    <col width="5.5" customWidth="1" style="36" min="24" max="24"/>
    <col width="5.5" customWidth="1" style="36" min="25" max="25"/>
    <col width="5.5" customWidth="1" style="36" min="26" max="26"/>
    <col width="5.5" customWidth="1" style="36" min="27" max="27"/>
    <col width="5.5" customWidth="1" style="36" min="28" max="28"/>
    <col width="5.5" customWidth="1" style="36" min="29" max="29"/>
    <col width="7" customWidth="1" style="36" min="30" max="30"/>
    <col width="7" customWidth="1" style="36" min="31" max="31"/>
  </cols>
  <sheetData>
    <row r="1" ht="36" customHeight="1" s="36">
      <c r="A1" s="114" t="inlineStr">
        <is>
          <t>TRAZABILIDAD VISUAL — Requisitos × Artefactos</t>
        </is>
      </c>
    </row>
    <row r="2" ht="18" customHeight="1" s="36">
      <c r="C2" s="48" t="inlineStr">
        <is>
          <t>Necesidades</t>
        </is>
      </c>
      <c r="D2" s="47" t="inlineStr">
        <is>
          <t>Casos de prueba</t>
        </is>
      </c>
      <c r="E2" s="140" t="n"/>
      <c r="F2" s="140" t="n"/>
      <c r="G2" s="140" t="n"/>
      <c r="H2" s="140" t="n"/>
      <c r="I2" s="140" t="n"/>
      <c r="J2" s="140" t="n"/>
      <c r="K2" s="140" t="n"/>
      <c r="L2" s="140" t="n"/>
      <c r="M2" s="140" t="n"/>
      <c r="N2" s="140" t="n"/>
      <c r="O2" s="140" t="n"/>
      <c r="P2" s="140" t="n"/>
      <c r="Q2" s="140" t="n"/>
      <c r="R2" s="140" t="n"/>
      <c r="S2" s="140" t="n"/>
      <c r="T2" s="140" t="n"/>
      <c r="U2" s="141" t="n"/>
      <c r="V2" s="49" t="inlineStr">
        <is>
          <t>Módulos código</t>
        </is>
      </c>
      <c r="W2" s="142" t="n"/>
      <c r="X2" s="142" t="n"/>
      <c r="Y2" s="142" t="n"/>
      <c r="Z2" s="142" t="n"/>
      <c r="AA2" s="142" t="n"/>
      <c r="AB2" s="142" t="n"/>
      <c r="AC2" s="143" t="n"/>
    </row>
    <row r="3" ht="118" customHeight="1" s="36">
      <c r="A3" s="68" t="inlineStr">
        <is>
          <t>ID Req.</t>
        </is>
      </c>
      <c r="B3" s="68" t="inlineStr">
        <is>
          <t>Título (abrev.)</t>
        </is>
      </c>
      <c r="C3" s="144" t="inlineStr">
        <is>
          <t>EPC28</t>
        </is>
      </c>
      <c r="D3" s="145" t="inlineStr">
        <is>
          <t>TC-01</t>
        </is>
      </c>
      <c r="E3" s="145" t="inlineStr">
        <is>
          <t>TC-02</t>
        </is>
      </c>
      <c r="F3" s="145" t="inlineStr">
        <is>
          <t>TC-03</t>
        </is>
      </c>
      <c r="G3" s="145" t="inlineStr">
        <is>
          <t>TC-04</t>
        </is>
      </c>
      <c r="H3" s="145" t="inlineStr">
        <is>
          <t>TC-05</t>
        </is>
      </c>
      <c r="I3" s="145" t="inlineStr">
        <is>
          <t>TC-06</t>
        </is>
      </c>
      <c r="J3" s="145" t="inlineStr">
        <is>
          <t>TC-07</t>
        </is>
      </c>
      <c r="K3" s="145" t="inlineStr">
        <is>
          <t>TC-08</t>
        </is>
      </c>
      <c r="L3" s="145" t="inlineStr">
        <is>
          <t>TC-09</t>
        </is>
      </c>
      <c r="M3" s="145" t="inlineStr">
        <is>
          <t>TC-10</t>
        </is>
      </c>
      <c r="N3" s="145" t="inlineStr">
        <is>
          <t>TC-11</t>
        </is>
      </c>
      <c r="O3" s="145" t="inlineStr">
        <is>
          <t>TC-12</t>
        </is>
      </c>
      <c r="P3" s="145" t="inlineStr">
        <is>
          <t>TC-13</t>
        </is>
      </c>
      <c r="Q3" s="145" t="inlineStr">
        <is>
          <t>TC-M1</t>
        </is>
      </c>
      <c r="R3" s="145" t="inlineStr">
        <is>
          <t>TC-M2</t>
        </is>
      </c>
      <c r="S3" s="145" t="inlineStr">
        <is>
          <t>TC-M3</t>
        </is>
      </c>
      <c r="T3" s="145" t="inlineStr">
        <is>
          <t>TC-M4</t>
        </is>
      </c>
      <c r="U3" s="145" t="inlineStr">
        <is>
          <t>TC-M5</t>
        </is>
      </c>
      <c r="V3" s="146" t="inlineStr">
        <is>
          <t>App.jsx</t>
        </is>
      </c>
      <c r="W3" s="146" t="inlineStr">
        <is>
          <t>data.js</t>
        </is>
      </c>
      <c r="X3" s="146" t="inlineStr">
        <is>
          <t>logic.js</t>
        </is>
      </c>
      <c r="Y3" s="146" t="inlineStr">
        <is>
          <t>AssignModal.jsx</t>
        </is>
      </c>
      <c r="Z3" s="146" t="inlineStr">
        <is>
          <t>DietDrawer.jsx</t>
        </is>
      </c>
      <c r="AA3" s="146" t="inlineStr">
        <is>
          <t>PatientContext.jsx</t>
        </is>
      </c>
      <c r="AB3" s="146" t="inlineStr">
        <is>
          <t>PatientView.jsx</t>
        </is>
      </c>
      <c r="AC3" s="146" t="inlineStr">
        <is>
          <t>Patients.jsx</t>
        </is>
      </c>
      <c r="AD3" s="147" t="inlineStr">
        <is>
          <t>Nº archivos de código</t>
        </is>
      </c>
      <c r="AE3" s="147" t="inlineStr">
        <is>
          <t>Nº casos de prueba</t>
        </is>
      </c>
    </row>
    <row r="4" ht="20" customHeight="1" s="36">
      <c r="A4" s="19" t="inlineStr">
        <is>
          <t>RF-A1</t>
        </is>
      </c>
      <c r="B4" s="20" t="inlineStr">
        <is>
          <t>Consultar la historia clínica del paciente</t>
        </is>
      </c>
      <c r="C4" s="21" t="inlineStr">
        <is>
          <t>✓</t>
        </is>
      </c>
      <c r="D4" s="22" t="n"/>
      <c r="E4" s="22" t="n"/>
      <c r="F4" s="22" t="n"/>
      <c r="G4" s="22" t="n"/>
      <c r="H4" s="22" t="n"/>
      <c r="I4" s="22" t="n"/>
      <c r="J4" s="22" t="n"/>
      <c r="K4" s="21" t="inlineStr">
        <is>
          <t>✓</t>
        </is>
      </c>
      <c r="L4" s="22" t="n"/>
      <c r="M4" s="22" t="n"/>
      <c r="N4" s="22" t="n"/>
      <c r="O4" s="22" t="n"/>
      <c r="P4" s="22" t="n"/>
      <c r="Q4" s="21" t="inlineStr">
        <is>
          <t>✓</t>
        </is>
      </c>
      <c r="R4" s="22" t="n"/>
      <c r="S4" s="22" t="n"/>
      <c r="T4" s="22" t="n"/>
      <c r="U4" s="22" t="n"/>
      <c r="V4" s="22" t="n"/>
      <c r="W4" s="21" t="inlineStr">
        <is>
          <t>✓</t>
        </is>
      </c>
      <c r="X4" s="22" t="n"/>
      <c r="Y4" s="22" t="n"/>
      <c r="Z4" s="22" t="n"/>
      <c r="AA4" s="21" t="inlineStr">
        <is>
          <t>✓</t>
        </is>
      </c>
      <c r="AB4" s="21" t="inlineStr">
        <is>
          <t>✓</t>
        </is>
      </c>
      <c r="AC4" s="21" t="inlineStr">
        <is>
          <t>✓</t>
        </is>
      </c>
      <c r="AD4" s="19">
        <f>COUNTIF(V4:AC4,"✓")</f>
        <v/>
      </c>
      <c r="AE4" s="19">
        <f>COUNTIF(D4:U4,"✓")</f>
        <v/>
      </c>
    </row>
    <row r="5" ht="20" customHeight="1" s="36">
      <c r="A5" s="19" t="inlineStr">
        <is>
          <t>RF-A2</t>
        </is>
      </c>
      <c r="B5" s="20" t="inlineStr">
        <is>
          <t>Ver las dietas de la enfermedad del paciente en un paso</t>
        </is>
      </c>
      <c r="C5" s="21" t="inlineStr">
        <is>
          <t>✓</t>
        </is>
      </c>
      <c r="D5" s="22" t="n"/>
      <c r="E5" s="22" t="n"/>
      <c r="F5" s="22" t="n"/>
      <c r="G5" s="22" t="n"/>
      <c r="H5" s="22" t="n"/>
      <c r="I5" s="21" t="inlineStr">
        <is>
          <t>✓</t>
        </is>
      </c>
      <c r="J5" s="21" t="inlineStr">
        <is>
          <t>✓</t>
        </is>
      </c>
      <c r="K5" s="22" t="n"/>
      <c r="L5" s="22" t="n"/>
      <c r="M5" s="22" t="n"/>
      <c r="N5" s="22" t="n"/>
      <c r="O5" s="22" t="n"/>
      <c r="P5" s="22" t="n"/>
      <c r="Q5" s="21" t="inlineStr">
        <is>
          <t>✓</t>
        </is>
      </c>
      <c r="R5" s="22" t="n"/>
      <c r="S5" s="22" t="n"/>
      <c r="T5" s="22" t="n"/>
      <c r="U5" s="22" t="n"/>
      <c r="V5" s="22" t="n"/>
      <c r="W5" s="21" t="inlineStr">
        <is>
          <t>✓</t>
        </is>
      </c>
      <c r="X5" s="22" t="n"/>
      <c r="Y5" s="22" t="n"/>
      <c r="Z5" s="22" t="n"/>
      <c r="AA5" s="22" t="n"/>
      <c r="AB5" s="21" t="inlineStr">
        <is>
          <t>✓</t>
        </is>
      </c>
      <c r="AC5" s="22" t="n"/>
      <c r="AD5" s="19">
        <f>COUNTIF(V5:AC5,"✓")</f>
        <v/>
      </c>
      <c r="AE5" s="19">
        <f>COUNTIF(D5:U5,"✓")</f>
        <v/>
      </c>
    </row>
    <row r="6" ht="20" customHeight="1" s="36">
      <c r="A6" s="19" t="inlineStr">
        <is>
          <t>RF-A3</t>
        </is>
      </c>
      <c r="B6" s="20" t="inlineStr">
        <is>
          <t>Señalar alergias e incompatibilidades en cada dieta</t>
        </is>
      </c>
      <c r="C6" s="21" t="inlineStr">
        <is>
          <t>✓</t>
        </is>
      </c>
      <c r="D6" s="21" t="inlineStr">
        <is>
          <t>✓</t>
        </is>
      </c>
      <c r="E6" s="21" t="inlineStr">
        <is>
          <t>✓</t>
        </is>
      </c>
      <c r="F6" s="21" t="inlineStr">
        <is>
          <t>✓</t>
        </is>
      </c>
      <c r="G6" s="21" t="inlineStr">
        <is>
          <t>✓</t>
        </is>
      </c>
      <c r="H6" s="21" t="inlineStr">
        <is>
          <t>✓</t>
        </is>
      </c>
      <c r="I6" s="22" t="n"/>
      <c r="J6" s="22" t="n"/>
      <c r="K6" s="22" t="n"/>
      <c r="L6" s="21" t="inlineStr">
        <is>
          <t>✓</t>
        </is>
      </c>
      <c r="M6" s="22" t="n"/>
      <c r="N6" s="21" t="inlineStr">
        <is>
          <t>✓</t>
        </is>
      </c>
      <c r="O6" s="21" t="inlineStr">
        <is>
          <t>✓</t>
        </is>
      </c>
      <c r="P6" s="21" t="inlineStr">
        <is>
          <t>✓</t>
        </is>
      </c>
      <c r="Q6" s="22" t="n"/>
      <c r="R6" s="21" t="inlineStr">
        <is>
          <t>✓</t>
        </is>
      </c>
      <c r="S6" s="22" t="n"/>
      <c r="T6" s="22" t="n"/>
      <c r="U6" s="22" t="n"/>
      <c r="V6" s="22" t="n"/>
      <c r="W6" s="21" t="inlineStr">
        <is>
          <t>✓</t>
        </is>
      </c>
      <c r="X6" s="21" t="inlineStr">
        <is>
          <t>✓</t>
        </is>
      </c>
      <c r="Y6" s="21" t="inlineStr">
        <is>
          <t>✓</t>
        </is>
      </c>
      <c r="Z6" s="22" t="n"/>
      <c r="AA6" s="22" t="n"/>
      <c r="AB6" s="21" t="inlineStr">
        <is>
          <t>✓</t>
        </is>
      </c>
      <c r="AC6" s="22" t="n"/>
      <c r="AD6" s="19">
        <f>COUNTIF(V6:AC6,"✓")</f>
        <v/>
      </c>
      <c r="AE6" s="19">
        <f>COUNTIF(D6:U6,"✓")</f>
        <v/>
      </c>
    </row>
    <row r="7" ht="20" customHeight="1" s="36">
      <c r="A7" s="19" t="inlineStr">
        <is>
          <t>RF-A4</t>
        </is>
      </c>
      <c r="B7" s="20" t="inlineStr">
        <is>
          <t>Abrir la ficha técnica sin perder al paciente</t>
        </is>
      </c>
      <c r="C7" s="21" t="inlineStr">
        <is>
          <t>✓</t>
        </is>
      </c>
      <c r="D7" s="22" t="n"/>
      <c r="E7" s="22" t="n"/>
      <c r="F7" s="22" t="n"/>
      <c r="G7" s="22" t="n"/>
      <c r="H7" s="22" t="n"/>
      <c r="I7" s="22" t="n"/>
      <c r="J7" s="22" t="n"/>
      <c r="K7" s="22" t="n"/>
      <c r="L7" s="22" t="n"/>
      <c r="M7" s="21" t="inlineStr">
        <is>
          <t>✓</t>
        </is>
      </c>
      <c r="N7" s="21" t="inlineStr">
        <is>
          <t>✓</t>
        </is>
      </c>
      <c r="O7" s="22" t="n"/>
      <c r="P7" s="22" t="n"/>
      <c r="Q7" s="22" t="n"/>
      <c r="R7" s="22" t="n"/>
      <c r="S7" s="21" t="inlineStr">
        <is>
          <t>✓</t>
        </is>
      </c>
      <c r="T7" s="22" t="n"/>
      <c r="U7" s="22" t="n"/>
      <c r="V7" s="22" t="n"/>
      <c r="W7" s="21" t="inlineStr">
        <is>
          <t>✓</t>
        </is>
      </c>
      <c r="X7" s="22" t="n"/>
      <c r="Y7" s="22" t="n"/>
      <c r="Z7" s="21" t="inlineStr">
        <is>
          <t>✓</t>
        </is>
      </c>
      <c r="AA7" s="21" t="inlineStr">
        <is>
          <t>✓</t>
        </is>
      </c>
      <c r="AB7" s="22" t="n"/>
      <c r="AC7" s="22" t="n"/>
      <c r="AD7" s="19">
        <f>COUNTIF(V7:AC7,"✓")</f>
        <v/>
      </c>
      <c r="AE7" s="19">
        <f>COUNTIF(D7:U7,"✓")</f>
        <v/>
      </c>
    </row>
    <row r="8" ht="20" customHeight="1" s="36">
      <c r="A8" s="19" t="inlineStr">
        <is>
          <t>RF-A5</t>
        </is>
      </c>
      <c r="B8" s="20" t="inlineStr">
        <is>
          <t>Confirmar y registrar la asignación</t>
        </is>
      </c>
      <c r="C8" s="21" t="inlineStr">
        <is>
          <t>✓</t>
        </is>
      </c>
      <c r="D8" s="22" t="n"/>
      <c r="E8" s="22" t="n"/>
      <c r="F8" s="22" t="n"/>
      <c r="G8" s="22" t="n"/>
      <c r="H8" s="22" t="n"/>
      <c r="I8" s="22" t="n"/>
      <c r="J8" s="22" t="n"/>
      <c r="K8" s="22" t="n"/>
      <c r="L8" s="22" t="n"/>
      <c r="M8" s="22" t="n"/>
      <c r="N8" s="22" t="n"/>
      <c r="O8" s="22" t="n"/>
      <c r="P8" s="22" t="n"/>
      <c r="Q8" s="22" t="n"/>
      <c r="R8" s="22" t="n"/>
      <c r="S8" s="22" t="n"/>
      <c r="T8" s="21" t="inlineStr">
        <is>
          <t>✓</t>
        </is>
      </c>
      <c r="U8" s="21" t="inlineStr">
        <is>
          <t>✓</t>
        </is>
      </c>
      <c r="V8" s="21" t="inlineStr">
        <is>
          <t>✓</t>
        </is>
      </c>
      <c r="W8" s="22" t="n"/>
      <c r="X8" s="22" t="n"/>
      <c r="Y8" s="21" t="inlineStr">
        <is>
          <t>✓</t>
        </is>
      </c>
      <c r="Z8" s="22" t="n"/>
      <c r="AA8" s="22" t="n"/>
      <c r="AB8" s="21" t="inlineStr">
        <is>
          <t>✓</t>
        </is>
      </c>
      <c r="AC8" s="22" t="n"/>
      <c r="AD8" s="19">
        <f>COUNTIF(V8:AC8,"✓")</f>
        <v/>
      </c>
      <c r="AE8" s="19">
        <f>COUNTIF(D8:U8,"✓")</f>
        <v/>
      </c>
    </row>
    <row r="9" ht="20" customHeight="1" s="36">
      <c r="A9" s="19" t="inlineStr">
        <is>
          <t>RNF-1</t>
        </is>
      </c>
      <c r="B9" s="20" t="inlineStr">
        <is>
          <t>Un usuario nuevo elige una dieta segura en menos de 90 s…</t>
        </is>
      </c>
      <c r="C9" s="21" t="inlineStr">
        <is>
          <t>✓</t>
        </is>
      </c>
      <c r="D9" s="22" t="n"/>
      <c r="E9" s="22" t="n"/>
      <c r="F9" s="22" t="n"/>
      <c r="G9" s="22" t="n"/>
      <c r="H9" s="22" t="n"/>
      <c r="I9" s="22" t="n"/>
      <c r="J9" s="22" t="n"/>
      <c r="K9" s="22" t="n"/>
      <c r="L9" s="22" t="n"/>
      <c r="M9" s="22" t="n"/>
      <c r="N9" s="22" t="n"/>
      <c r="O9" s="22" t="n"/>
      <c r="P9" s="22" t="n"/>
      <c r="Q9" s="22" t="n"/>
      <c r="R9" s="22" t="n"/>
      <c r="S9" s="22" t="n"/>
      <c r="T9" s="21" t="inlineStr">
        <is>
          <t>✓</t>
        </is>
      </c>
      <c r="U9" s="22" t="n"/>
      <c r="V9" s="22" t="n"/>
      <c r="W9" s="22" t="n"/>
      <c r="X9" s="22" t="n"/>
      <c r="Y9" s="22" t="n"/>
      <c r="Z9" s="22" t="n"/>
      <c r="AA9" s="22" t="n"/>
      <c r="AB9" s="21" t="inlineStr">
        <is>
          <t>✓</t>
        </is>
      </c>
      <c r="AC9" s="22" t="n"/>
      <c r="AD9" s="19">
        <f>COUNTIF(V9:AC9,"✓")</f>
        <v/>
      </c>
      <c r="AE9" s="19">
        <f>COUNTIF(D9:U9,"✓")</f>
        <v/>
      </c>
    </row>
    <row r="10" ht="20" customHeight="1" s="36"/>
    <row r="11" ht="20" customHeight="1" s="36">
      <c r="A11" s="107" t="inlineStr">
        <is>
          <t>Cobertura total (%)</t>
        </is>
      </c>
      <c r="B11" s="107" t="n"/>
      <c r="C11" s="106">
        <f>IFERROR(COUNTIF(C4:C9,"✓")/COUNTA($A$4:$A$9),"")</f>
        <v/>
      </c>
      <c r="D11" s="25">
        <f>IFERROR(COUNTIF(D4:D9,"✓")/COUNTA($A$4:$A$9),"")</f>
        <v/>
      </c>
      <c r="E11" s="25">
        <f>IFERROR(COUNTIF(E4:E9,"✓")/COUNTA($A$4:$A$9),"")</f>
        <v/>
      </c>
      <c r="F11" s="25">
        <f>IFERROR(COUNTIF(F4:F9,"✓")/COUNTA($A$4:$A$9),"")</f>
        <v/>
      </c>
      <c r="G11" s="25">
        <f>IFERROR(COUNTIF(G4:G9,"✓")/COUNTA($A$4:$A$9),"")</f>
        <v/>
      </c>
      <c r="H11" s="25">
        <f>IFERROR(COUNTIF(H4:H9,"✓")/COUNTA($A$4:$A$9),"")</f>
        <v/>
      </c>
      <c r="I11" s="25">
        <f>IFERROR(COUNTIF(I4:I9,"✓")/COUNTA($A$4:$A$9),"")</f>
        <v/>
      </c>
      <c r="J11" s="25">
        <f>IFERROR(COUNTIF(J4:J9,"✓")/COUNTA($A$4:$A$9),"")</f>
        <v/>
      </c>
      <c r="K11" s="25">
        <f>IFERROR(COUNTIF(K4:K9,"✓")/COUNTA($A$4:$A$9),"")</f>
        <v/>
      </c>
      <c r="L11" s="25">
        <f>IFERROR(COUNTIF(L4:L9,"✓")/COUNTA($A$4:$A$9),"")</f>
        <v/>
      </c>
      <c r="M11" s="25">
        <f>IFERROR(COUNTIF(M4:M9,"✓")/COUNTA($A$4:$A$9),"")</f>
        <v/>
      </c>
      <c r="N11" s="25">
        <f>IFERROR(COUNTIF(N4:N9,"✓")/COUNTA($A$4:$A$9),"")</f>
        <v/>
      </c>
      <c r="O11" s="25">
        <f>IFERROR(COUNTIF(O4:O9,"✓")/COUNTA($A$4:$A$9),"")</f>
        <v/>
      </c>
      <c r="P11" s="25">
        <f>IFERROR(COUNTIF(P4:P9,"✓")/COUNTA($A$4:$A$9),"")</f>
        <v/>
      </c>
      <c r="Q11" s="25">
        <f>IFERROR(COUNTIF(Q4:Q9,"✓")/COUNTA($A$4:$A$9),"")</f>
        <v/>
      </c>
      <c r="R11" s="25">
        <f>IFERROR(COUNTIF(R4:R9,"✓")/COUNTA($A$4:$A$9),"")</f>
        <v/>
      </c>
      <c r="S11" s="25">
        <f>IFERROR(COUNTIF(S4:S9,"✓")/COUNTA($A$4:$A$9),"")</f>
        <v/>
      </c>
      <c r="T11" s="25">
        <f>IFERROR(COUNTIF(T4:T9,"✓")/COUNTA($A$4:$A$9),"")</f>
        <v/>
      </c>
      <c r="U11" s="25">
        <f>IFERROR(COUNTIF(U4:U9,"✓")/COUNTA($A$4:$A$9),"")</f>
        <v/>
      </c>
      <c r="V11" s="25">
        <f>IFERROR(COUNTIF(V4:V9,"✓")/COUNTA($A$4:$A$9),"")</f>
        <v/>
      </c>
      <c r="W11" s="25">
        <f>IFERROR(COUNTIF(W4:W9,"✓")/COUNTA($A$4:$A$9),"")</f>
        <v/>
      </c>
      <c r="X11" s="25">
        <f>IFERROR(COUNTIF(X4:X9,"✓")/COUNTA($A$4:$A$9),"")</f>
        <v/>
      </c>
      <c r="Y11" s="25">
        <f>IFERROR(COUNTIF(Y4:Y9,"✓")/COUNTA($A$4:$A$9),"")</f>
        <v/>
      </c>
      <c r="Z11" s="25">
        <f>IFERROR(COUNTIF(Z4:Z9,"✓")/COUNTA($A$4:$A$9),"")</f>
        <v/>
      </c>
      <c r="AA11" s="25">
        <f>IFERROR(COUNTIF(AA4:AA9,"✓")/COUNTA($A$4:$A$9),"")</f>
        <v/>
      </c>
      <c r="AB11" s="25">
        <f>IFERROR(COUNTIF(AB4:AB9,"✓")/COUNTA($A$4:$A$9),"")</f>
        <v/>
      </c>
      <c r="AC11" s="25">
        <f>IFERROR(COUNTIF(AC4:AC9,"✓")/COUNTA($A$4:$A$9),"")</f>
        <v/>
      </c>
    </row>
    <row r="12" ht="20" customHeight="1" s="36">
      <c r="A12" t="inlineStr">
        <is>
          <t>Cobertura de una columna = % de requisitos que ese artefacto cubre. Una celda vacía en una fila significa que el requisito no está cubierto por ese artefacto.</t>
        </is>
      </c>
    </row>
    <row r="13" ht="20" customHeight="1" s="36"/>
    <row r="14" ht="20" customHeight="1" s="36"/>
    <row r="15" ht="20" customHeight="1" s="36"/>
    <row r="17" ht="22" customHeight="1" s="36"/>
  </sheetData>
  <mergeCells count="5">
    <mergeCell ref="A11:B11"/>
    <mergeCell ref="D2:U2"/>
    <mergeCell ref="V2:AC2"/>
    <mergeCell ref="A1:AE1"/>
    <mergeCell ref="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0"/>
  <sheetViews>
    <sheetView showGridLines="0" workbookViewId="0">
      <selection activeCell="A18" sqref="A18:F18"/>
    </sheetView>
  </sheetViews>
  <sheetFormatPr baseColWidth="10" defaultColWidth="8.83203125" defaultRowHeight="15"/>
  <cols>
    <col width="12" customWidth="1" style="36" min="1" max="1"/>
    <col width="28" customWidth="1" style="36" min="2" max="2"/>
    <col width="14" customWidth="1" style="36" min="3" max="4"/>
    <col width="18" customWidth="1" style="36" min="5" max="5"/>
    <col width="12" customWidth="1" style="36" min="6" max="6"/>
    <col width="14" customWidth="1" style="36" min="7" max="8"/>
    <col width="18" customWidth="1" style="36" min="9" max="9"/>
  </cols>
  <sheetData>
    <row r="1" ht="42" customHeight="1" s="36">
      <c r="A1" s="114" t="inlineStr">
        <is>
          <t>RESUMEN Y MÉTRICAS — Dashboard de trazabilidad</t>
        </is>
      </c>
    </row>
    <row r="2" ht="18" customHeight="1" s="36">
      <c r="A2" s="102" t="inlineStr">
        <is>
          <t>Las métricas se calculan automáticamente a partir de la hoja '📋 Matriz principal'</t>
        </is>
      </c>
    </row>
    <row r="3" ht="10" customHeight="1" s="36"/>
    <row r="4" ht="18" customHeight="1" s="36">
      <c r="A4" s="84" t="inlineStr">
        <is>
          <t>Total requisitos</t>
        </is>
      </c>
      <c r="C4" s="81" t="inlineStr">
        <is>
          <t>Verificados</t>
        </is>
      </c>
      <c r="D4" s="141" t="n"/>
      <c r="E4" s="57" t="inlineStr">
        <is>
          <t>En desarrollo</t>
        </is>
      </c>
      <c r="F4" s="148" t="n"/>
      <c r="G4" s="53" t="inlineStr">
        <is>
          <t>Bloqueados / Fallidos</t>
        </is>
      </c>
      <c r="H4" s="149" t="n"/>
      <c r="I4" s="54" t="inlineStr">
        <is>
          <t>Sin caso de prueba</t>
        </is>
      </c>
      <c r="J4" s="150" t="n"/>
    </row>
    <row r="5" ht="40" customHeight="1" s="36">
      <c r="A5" s="86">
        <f>COUNTA('📋 Matriz principal'!A4:A103)</f>
        <v/>
      </c>
      <c r="C5" s="82">
        <f>COUNTIF('📋 Matriz principal'!O4:O103,"Verificado")</f>
        <v/>
      </c>
      <c r="D5" s="141" t="n"/>
      <c r="E5" s="62">
        <f>COUNTIF('📋 Matriz principal'!O4:O103,"En desarrollo")</f>
        <v/>
      </c>
      <c r="F5" s="148" t="n"/>
      <c r="G5" s="51">
        <f>SUMPRODUCT(--((('📋 Matriz principal'!O4:O103="Bloqueado")+('📋 Matriz principal'!M4:M103="Fallido")+('📋 Matriz principal'!M4:M103="Bloqueado"))&gt;0))</f>
        <v/>
      </c>
      <c r="H5" s="149" t="n"/>
      <c r="I5" s="52">
        <f>SUMPRODUCT(('📋 Matriz principal'!A4:A103&lt;&gt;"")*('📋 Matriz principal'!L4:L103=""))</f>
        <v/>
      </c>
      <c r="J5" s="150" t="n"/>
    </row>
    <row r="6" ht="22" customHeight="1" s="36">
      <c r="A6" s="85" t="n"/>
      <c r="C6" s="83" t="n"/>
      <c r="D6" s="141" t="n"/>
      <c r="E6" s="50" t="n"/>
      <c r="F6" s="148" t="n"/>
      <c r="G6" s="58" t="n"/>
      <c r="H6" s="149" t="n"/>
      <c r="I6" s="61" t="n"/>
      <c r="J6" s="150" t="n"/>
    </row>
    <row r="7" ht="16" customHeight="1" s="36"/>
    <row r="8" ht="20" customHeight="1" s="36">
      <c r="A8" s="94" t="inlineStr">
        <is>
          <t>DISTRIBUCIÓN DE ESTADOS</t>
        </is>
      </c>
    </row>
    <row r="9" ht="18" customHeight="1" s="36">
      <c r="A9" s="87" t="inlineStr">
        <is>
          <t>Propuesto</t>
        </is>
      </c>
      <c r="B9" s="88" t="inlineStr">
        <is>
          <t>Aprobado</t>
        </is>
      </c>
      <c r="C9" s="89" t="inlineStr">
        <is>
          <t>En desarrollo</t>
        </is>
      </c>
      <c r="D9" s="88" t="inlineStr">
        <is>
          <t>Implementado</t>
        </is>
      </c>
      <c r="E9" s="90" t="inlineStr">
        <is>
          <t>Verificado</t>
        </is>
      </c>
      <c r="F9" s="91" t="inlineStr">
        <is>
          <t>Aplazado</t>
        </is>
      </c>
      <c r="G9" s="92" t="inlineStr">
        <is>
          <t>Rechazado</t>
        </is>
      </c>
      <c r="H9" s="93" t="inlineStr">
        <is>
          <t>Archivado</t>
        </is>
      </c>
    </row>
    <row r="10" ht="24" customHeight="1" s="36">
      <c r="A10" s="26">
        <f>COUNTIF('📋 Matriz principal'!O4:O103,"Propuesto")</f>
        <v/>
      </c>
      <c r="B10" s="27">
        <f>COUNTIF('📋 Matriz principal'!O4:O103,"Aprobado")</f>
        <v/>
      </c>
      <c r="C10" s="28">
        <f>COUNTIF('📋 Matriz principal'!O4:O103,"En desarrollo")</f>
        <v/>
      </c>
      <c r="D10" s="27">
        <f>COUNTIF('📋 Matriz principal'!O4:O103,"Implementado")</f>
        <v/>
      </c>
      <c r="E10" s="29">
        <f>COUNTIF('📋 Matriz principal'!O4:O103,"Verificado")</f>
        <v/>
      </c>
      <c r="F10" s="30">
        <f>COUNTIF('📋 Matriz principal'!O4:O103,"Aplazado")</f>
        <v/>
      </c>
      <c r="G10" s="31">
        <f>COUNTIF('📋 Matriz principal'!O4:O103,"Rechazado")</f>
        <v/>
      </c>
      <c r="H10" s="32">
        <f>COUNTIF('📋 Matriz principal'!O4:O103,"Archivado")</f>
        <v/>
      </c>
    </row>
    <row r="11" ht="16" customHeight="1" s="36"/>
    <row r="12" ht="20" customHeight="1" s="36">
      <c r="A12" s="94" t="inlineStr">
        <is>
          <t>DISTRIBUCIÓN POR PRIORIDAD (MoSCoW)</t>
        </is>
      </c>
    </row>
    <row r="13" ht="18" customHeight="1" s="36">
      <c r="A13" s="95" t="inlineStr">
        <is>
          <t>Must have</t>
        </is>
      </c>
      <c r="B13" s="127" t="n"/>
      <c r="C13" s="96" t="inlineStr">
        <is>
          <t>Should have</t>
        </is>
      </c>
      <c r="D13" s="127" t="n"/>
      <c r="E13" s="97" t="inlineStr">
        <is>
          <t>Could have</t>
        </is>
      </c>
      <c r="F13" s="127" t="n"/>
      <c r="G13" s="98" t="inlineStr">
        <is>
          <t>Won't have</t>
        </is>
      </c>
      <c r="H13" s="127" t="n"/>
    </row>
    <row r="14" ht="24" customHeight="1" s="36">
      <c r="A14" s="59">
        <f>COUNTIF('📋 Matriz principal'!F4:F103,"Must have")</f>
        <v/>
      </c>
      <c r="B14" s="120" t="n"/>
      <c r="C14" s="55">
        <f>COUNTIF('📋 Matriz principal'!F4:F103,"Should have")</f>
        <v/>
      </c>
      <c r="D14" s="120" t="n"/>
      <c r="E14" s="56">
        <f>COUNTIF('📋 Matriz principal'!F4:F103,"Could have")</f>
        <v/>
      </c>
      <c r="F14" s="120" t="n"/>
      <c r="G14" s="60">
        <f>COUNTIF('📋 Matriz principal'!F4:F103,"Won't have")</f>
        <v/>
      </c>
      <c r="H14" s="120" t="n"/>
    </row>
    <row r="15" ht="16" customHeight="1" s="36"/>
    <row r="16" ht="20" customHeight="1" s="36">
      <c r="A16" s="94" t="inlineStr">
        <is>
          <t>ALERTAS DE COBERTURA — Requisitos sin caso de prueba asignado</t>
        </is>
      </c>
    </row>
    <row r="17" ht="18" customHeight="1" s="36">
      <c r="A17" s="99" t="inlineStr">
        <is>
          <t>ID Req.</t>
        </is>
      </c>
      <c r="B17" s="99" t="inlineStr">
        <is>
          <t>Título</t>
        </is>
      </c>
      <c r="C17" s="99" t="inlineStr">
        <is>
          <t>Prioridad</t>
        </is>
      </c>
      <c r="D17" s="99" t="inlineStr">
        <is>
          <t>Estado</t>
        </is>
      </c>
      <c r="E17" s="99" t="inlineStr">
        <is>
          <t>Responsable</t>
        </is>
      </c>
      <c r="F17" s="99" t="inlineStr">
        <is>
          <t>Sprint</t>
        </is>
      </c>
    </row>
    <row r="18" ht="22" customHeight="1" s="36">
      <c r="A18" s="104" t="inlineStr">
        <is>
          <t>✓ Todos los requisitos tienen al menos un caso de prueba asignado.</t>
        </is>
      </c>
    </row>
    <row r="19"/>
    <row r="20"/>
    <row r="21"/>
    <row r="22"/>
    <row r="23"/>
    <row r="24"/>
    <row r="25"/>
    <row r="26"/>
    <row r="27"/>
    <row r="28"/>
    <row r="29"/>
    <row r="30"/>
    <row r="31"/>
    <row r="32"/>
    <row r="33"/>
    <row r="34"/>
    <row r="35"/>
    <row r="36"/>
    <row r="37"/>
    <row r="38"/>
    <row r="39"/>
    <row r="40"/>
  </sheetData>
  <mergeCells count="29">
    <mergeCell ref="C6:D6"/>
    <mergeCell ref="I6:J6"/>
    <mergeCell ref="A8:J8"/>
    <mergeCell ref="C5:D5"/>
    <mergeCell ref="E5:F5"/>
    <mergeCell ref="C14:D14"/>
    <mergeCell ref="E14:F14"/>
    <mergeCell ref="A18:F18"/>
    <mergeCell ref="A6:B6"/>
    <mergeCell ref="C4:D4"/>
    <mergeCell ref="E4:F4"/>
    <mergeCell ref="A16:H16"/>
    <mergeCell ref="E13:F13"/>
    <mergeCell ref="G6:H6"/>
    <mergeCell ref="G13:H13"/>
    <mergeCell ref="A12:H12"/>
    <mergeCell ref="A1:J1"/>
    <mergeCell ref="E6:F6"/>
    <mergeCell ref="A5:B5"/>
    <mergeCell ref="G5:H5"/>
    <mergeCell ref="A14:B14"/>
    <mergeCell ref="G14:H14"/>
    <mergeCell ref="I5:J5"/>
    <mergeCell ref="A4:B4"/>
    <mergeCell ref="G4:H4"/>
    <mergeCell ref="I4:J4"/>
    <mergeCell ref="A13:B13"/>
    <mergeCell ref="C13:D13"/>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showGridLines="0" workbookViewId="0">
      <pane ySplit="2" topLeftCell="A3" activePane="bottomLeft" state="frozen"/>
      <selection pane="bottomLeft" activeCell="A1" sqref="A1"/>
    </sheetView>
  </sheetViews>
  <sheetFormatPr baseColWidth="8" defaultRowHeight="15"/>
  <cols>
    <col width="6" customWidth="1" style="36" min="1" max="1"/>
    <col width="11" customWidth="1" style="36" min="2" max="2"/>
    <col width="30" customWidth="1" style="36" min="3" max="3"/>
    <col width="26" customWidth="1" style="36" min="4" max="4"/>
    <col width="62" customWidth="1" style="36" min="5" max="5"/>
    <col width="46" customWidth="1" style="36" min="6" max="6"/>
  </cols>
  <sheetData>
    <row r="1" ht="36" customHeight="1" s="36">
      <c r="A1" s="69" t="inlineStr">
        <is>
          <t>AUDITORÍA DE TRAZABILIDAD (Misión 10) — hallazgos detectados por el script</t>
        </is>
      </c>
    </row>
    <row r="2" ht="30" customHeight="1" s="36">
      <c r="A2" s="78" t="inlineStr">
        <is>
          <t>#</t>
        </is>
      </c>
      <c r="B2" s="78" t="inlineStr">
        <is>
          <t>Severidad</t>
        </is>
      </c>
      <c r="C2" s="78" t="inlineStr">
        <is>
          <t>Tipo de hallazgo</t>
        </is>
      </c>
      <c r="D2" s="78" t="inlineStr">
        <is>
          <t>Artefacto / ID</t>
        </is>
      </c>
      <c r="E2" s="78" t="inlineStr">
        <is>
          <t>Descripción</t>
        </is>
      </c>
      <c r="F2" s="78" t="inlineStr">
        <is>
          <t>Acción sugerida</t>
        </is>
      </c>
    </row>
    <row r="3" ht="30" customHeight="1" s="36">
      <c r="A3" s="38" t="n">
        <v>1</v>
      </c>
      <c r="B3" s="10" t="inlineStr">
        <is>
          <t>Alta</t>
        </is>
      </c>
      <c r="C3" s="38" t="inlineStr">
        <is>
          <t>Metadatos incompletos</t>
        </is>
      </c>
      <c r="D3" s="38" t="inlineStr">
        <is>
          <t>C1-BACKLOG</t>
        </is>
      </c>
      <c r="E3" s="38" t="inlineStr">
        <is>
          <t>Falta o está pendiente: fecha de cierre.</t>
        </is>
      </c>
      <c r="F3" s="38" t="inlineStr">
        <is>
          <t>Completar el encabezado del archivo.</t>
        </is>
      </c>
    </row>
    <row r="4" ht="30" customHeight="1" s="36">
      <c r="A4" s="38" t="n">
        <v>2</v>
      </c>
      <c r="B4" s="10" t="inlineStr">
        <is>
          <t>Alta</t>
        </is>
      </c>
      <c r="C4" s="38" t="inlineStr">
        <is>
          <t>Metadatos incompletos</t>
        </is>
      </c>
      <c r="D4" s="38" t="inlineStr">
        <is>
          <t>C1-VB</t>
        </is>
      </c>
      <c r="E4" s="38" t="inlineStr">
        <is>
          <t>Falta o está pendiente: fecha de cierre.</t>
        </is>
      </c>
      <c r="F4" s="38" t="inlineStr">
        <is>
          <t>Completar el encabezado del archivo.</t>
        </is>
      </c>
    </row>
    <row r="5" ht="30" customHeight="1" s="36">
      <c r="A5" s="38" t="n">
        <v>3</v>
      </c>
      <c r="B5" s="10" t="inlineStr">
        <is>
          <t>Alta</t>
        </is>
      </c>
      <c r="C5" s="38" t="inlineStr">
        <is>
          <t>Metadatos incompletos</t>
        </is>
      </c>
      <c r="D5" s="38" t="inlineStr">
        <is>
          <t>DOC-VAL</t>
        </is>
      </c>
      <c r="E5" s="38" t="inlineStr">
        <is>
          <t>Falta o está pendiente: fecha de cierre.</t>
        </is>
      </c>
      <c r="F5" s="38" t="inlineStr">
        <is>
          <t>Completar el encabezado del archivo.</t>
        </is>
      </c>
    </row>
    <row r="6" ht="30" customHeight="1" s="36">
      <c r="A6" s="38" t="n">
        <v>4</v>
      </c>
      <c r="B6" s="10" t="inlineStr">
        <is>
          <t>Alta</t>
        </is>
      </c>
      <c r="C6" s="38" t="inlineStr">
        <is>
          <t>Metadatos incompletos</t>
        </is>
      </c>
      <c r="D6" s="38" t="inlineStr">
        <is>
          <t>TEST-MANUAL</t>
        </is>
      </c>
      <c r="E6" s="38" t="inlineStr">
        <is>
          <t>Falta o está pendiente: fecha de cierre.</t>
        </is>
      </c>
      <c r="F6" s="38" t="inlineStr">
        <is>
          <t>Completar el encabezado del archivo.</t>
        </is>
      </c>
    </row>
    <row r="7" ht="31" customHeight="1" s="36">
      <c r="A7" s="38" t="n">
        <v>5</v>
      </c>
      <c r="B7" s="14" t="inlineStr">
        <is>
          <t>Media</t>
        </is>
      </c>
      <c r="C7" s="38" t="inlineStr">
        <is>
          <t>Cambio propuesto sin RFC</t>
        </is>
      </c>
      <c r="D7" s="38" t="inlineStr">
        <is>
          <t>CA1–CA5</t>
        </is>
      </c>
      <c r="E7" s="38" t="inlineStr">
        <is>
          <t>La sección 6 propone reformular los criterios de aceptación, pero no hay una RFC que registre el cambio.</t>
        </is>
      </c>
      <c r="F7" s="38" t="inlineStr">
        <is>
          <t>Registrar la RFC (formulario del curso) y agregarla al registro.</t>
        </is>
      </c>
    </row>
    <row r="8" ht="31" customHeight="1" s="36">
      <c r="A8" s="38" t="n">
        <v>6</v>
      </c>
      <c r="B8" s="14" t="inlineStr">
        <is>
          <t>Media</t>
        </is>
      </c>
      <c r="C8" s="38" t="inlineStr">
        <is>
          <t>Criterio de aceptación sin requisito</t>
        </is>
      </c>
      <c r="D8" s="38" t="inlineStr">
        <is>
          <t>CA5</t>
        </is>
      </c>
      <c r="E8" s="38" t="inlineStr">
        <is>
          <t>Está propuesto en la sección 6 del documento, pero ningún requisito de la sección 2 lo usa; por eso no tiene código ni pruebas.</t>
        </is>
      </c>
      <c r="F8" s="38" t="inlineStr">
        <is>
          <t>Crear el requisito que lo cubra.</t>
        </is>
      </c>
    </row>
    <row r="9" ht="31" customHeight="1" s="36">
      <c r="A9" s="38" t="n">
        <v>7</v>
      </c>
      <c r="B9" s="14" t="inlineStr">
        <is>
          <t>Media</t>
        </is>
      </c>
      <c r="C9" s="38" t="inlineStr">
        <is>
          <t>Escenarios manuales sin ejecutar</t>
        </is>
      </c>
      <c r="D9" s="38" t="inlineStr">
        <is>
          <t>TEST-MANUAL</t>
        </is>
      </c>
      <c r="E9" s="38" t="inlineStr">
        <is>
          <t>Pendientes: TC-M1, TC-M2, TC-M3, TC-M4, TC-M5.</t>
        </is>
      </c>
      <c r="F9" s="38" t="inlineStr">
        <is>
          <t>Ejecutarlos y anotar resultado, fecha y observaciones.</t>
        </is>
      </c>
    </row>
    <row r="10" ht="31" customHeight="1" s="36">
      <c r="A10" s="38" t="n">
        <v>8</v>
      </c>
      <c r="B10" s="14" t="inlineStr">
        <is>
          <t>Media</t>
        </is>
      </c>
      <c r="C10" s="38" t="inlineStr">
        <is>
          <t>Requisito sin prueba ejecutada</t>
        </is>
      </c>
      <c r="D10" s="38" t="inlineStr">
        <is>
          <t>RF-A5</t>
        </is>
      </c>
      <c r="E10" s="38" t="inlineStr">
        <is>
          <t>Sus pruebas (TC-M4, TC-M5) siguen en «Pendiente».</t>
        </is>
      </c>
      <c r="F10" s="38" t="inlineStr">
        <is>
          <t>Ejecutarlas y registrar el resultado en tests/escenarios_manuales.md.</t>
        </is>
      </c>
    </row>
    <row r="11" ht="31" customHeight="1" s="36">
      <c r="A11" s="38" t="n">
        <v>9</v>
      </c>
      <c r="B11" s="14" t="inlineStr">
        <is>
          <t>Media</t>
        </is>
      </c>
      <c r="C11" s="38" t="inlineStr">
        <is>
          <t>Requisito sin prueba ejecutada</t>
        </is>
      </c>
      <c r="D11" s="38" t="inlineStr">
        <is>
          <t>RNF-1</t>
        </is>
      </c>
      <c r="E11" s="38" t="inlineStr">
        <is>
          <t>Sus pruebas (TC-M4) siguen en «Pendiente».</t>
        </is>
      </c>
      <c r="F11" s="38" t="inlineStr">
        <is>
          <t>Ejecutarlas y registrar el resultado en tests/escenarios_manuales.md.</t>
        </is>
      </c>
    </row>
    <row r="12" ht="31" customHeight="1" s="36">
      <c r="A12" s="38" t="n">
        <v>10</v>
      </c>
      <c r="B12" s="15" t="inlineStr">
        <is>
          <t>Baja</t>
        </is>
      </c>
      <c r="C12" s="38" t="inlineStr">
        <is>
          <t>Código sin requisito</t>
        </is>
      </c>
      <c r="D12" s="38" t="inlineStr">
        <is>
          <t>caso3-dietas/src/screens/Login.jsx</t>
        </is>
      </c>
      <c r="E12" s="38" t="inlineStr">
        <is>
          <t>Implementa comportamiento que ningún requisito de la sección 2 respalda.</t>
        </is>
      </c>
      <c r="F12" s="38" t="inlineStr">
        <is>
          <t>Asociarlo a un requisito, o marcarlo con la etiqueta de infraestructura si no aplica.</t>
        </is>
      </c>
    </row>
    <row r="13" ht="31" customHeight="1" s="36">
      <c r="A13" s="38" t="n">
        <v>11</v>
      </c>
      <c r="B13" s="15" t="inlineStr">
        <is>
          <t>Baja</t>
        </is>
      </c>
      <c r="C13" s="38" t="inlineStr">
        <is>
          <t>ID de requisito no definido en el documento</t>
        </is>
      </c>
      <c r="D13" s="38" t="inlineStr">
        <is>
          <t>RF1–RF5</t>
        </is>
      </c>
      <c r="E13" s="38" t="inlineStr">
        <is>
          <t>Citado en caso3-dietas/src/screens/Catalog.jsx, pero la sección 2 de caso3-dietas/docs/Documento_de_validacion.md no lo define.</t>
        </is>
      </c>
      <c r="F13" s="38" t="inlineStr">
        <is>
          <t>Definir el requisito en el documento (o quitar la etiqueta si está fuera de alcance).</t>
        </is>
      </c>
    </row>
    <row r="14" ht="31" customHeight="1" s="36">
      <c r="A14" s="38" t="n">
        <v>12</v>
      </c>
      <c r="B14" s="15" t="inlineStr">
        <is>
          <t>Baja</t>
        </is>
      </c>
      <c r="C14" s="38" t="inlineStr">
        <is>
          <t>Requisito ausente en la aplicación</t>
        </is>
      </c>
      <c r="D14" s="38" t="inlineStr">
        <is>
          <t>RNF-1</t>
        </is>
      </c>
      <c r="E14" s="38" t="inlineStr">
        <is>
          <t>Está en el documento pero no en la pantalla «Objetivo» (caso3-dietas/src/screens/About.jsx).</t>
        </is>
      </c>
      <c r="F14" s="38" t="inlineStr">
        <is>
          <t>Agregarlo a la lista de requisitos de la pantalla.</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0"/>
  <sheetViews>
    <sheetView showGridLines="0" workbookViewId="0">
      <pane ySplit="2" topLeftCell="A3" activePane="bottomLeft" state="frozen"/>
      <selection pane="bottomLeft" activeCell="S3" sqref="S3"/>
    </sheetView>
  </sheetViews>
  <sheetFormatPr baseColWidth="10" defaultColWidth="8.83203125" defaultRowHeight="15"/>
  <cols>
    <col width="10" customWidth="1" style="36" min="1" max="1"/>
    <col width="30" customWidth="1" style="36" min="2" max="2"/>
    <col width="18" customWidth="1" style="36" min="3" max="3"/>
    <col width="14" customWidth="1" style="36" min="4" max="4"/>
    <col width="12" customWidth="1" style="36" min="5" max="5"/>
    <col width="20" customWidth="1" style="36" min="6" max="6"/>
    <col width="28" customWidth="1" style="36" min="7" max="7"/>
    <col width="14" customWidth="1" style="36" min="8" max="9"/>
    <col width="18" customWidth="1" style="36" min="10" max="10"/>
    <col width="12" customWidth="1" style="36" min="11" max="11"/>
    <col width="14" customWidth="1" style="36" min="12" max="12"/>
    <col width="28" customWidth="1" style="36" min="13" max="13"/>
  </cols>
  <sheetData>
    <row r="1" ht="36" customHeight="1" s="36">
      <c r="A1" s="69" t="inlineStr">
        <is>
          <t>REGISTRO DE SOLICITUDES DE CAMBIO (RFC)</t>
        </is>
      </c>
      <c r="B1" s="151" t="n"/>
      <c r="C1" s="151" t="n"/>
      <c r="D1" s="151" t="n"/>
      <c r="E1" s="151" t="n"/>
      <c r="F1" s="151" t="n"/>
      <c r="G1" s="151" t="n"/>
      <c r="H1" s="151" t="n"/>
      <c r="I1" s="151" t="n"/>
      <c r="J1" s="151" t="n"/>
      <c r="K1" s="151" t="n"/>
      <c r="L1" s="151" t="n"/>
      <c r="M1" s="151" t="n"/>
    </row>
    <row r="2" ht="36" customHeight="1" s="36">
      <c r="A2" s="78" t="inlineStr">
        <is>
          <t>ID RFC</t>
        </is>
      </c>
      <c r="B2" s="79" t="inlineStr">
        <is>
          <t>Título del cambio</t>
        </is>
      </c>
      <c r="C2" s="80" t="inlineStr">
        <is>
          <t>Solicitante</t>
        </is>
      </c>
      <c r="D2" s="78" t="inlineStr">
        <is>
          <t>Fecha solicitud</t>
        </is>
      </c>
      <c r="E2" s="78" t="inlineStr">
        <is>
          <t>Prioridad</t>
        </is>
      </c>
      <c r="F2" s="78" t="inlineStr">
        <is>
          <t>Requisito(s) afect.</t>
        </is>
      </c>
      <c r="G2" s="78" t="inlineStr">
        <is>
          <t>Artefactos impactados</t>
        </is>
      </c>
      <c r="H2" s="78" t="inlineStr">
        <is>
          <t>Decisión CCB</t>
        </is>
      </c>
      <c r="I2" s="78" t="inlineStr">
        <is>
          <t>Fecha decisión</t>
        </is>
      </c>
      <c r="J2" s="78" t="inlineStr">
        <is>
          <t>Responsable impl.</t>
        </is>
      </c>
      <c r="K2" s="78" t="inlineStr">
        <is>
          <t>Sprint impl.</t>
        </is>
      </c>
      <c r="L2" s="78" t="inlineStr">
        <is>
          <t>Estado RFC</t>
        </is>
      </c>
      <c r="M2" s="78" t="inlineStr">
        <is>
          <t>Notas</t>
        </is>
      </c>
    </row>
    <row r="3" ht="48" customHeight="1" s="36">
      <c r="A3" s="38" t="inlineStr">
        <is>
          <t>El caso 3 (Dietas al día) no tiene RFC registradas. El documento de validación propone reformular los criterios de aceptación (CA1, CA2, CA3, CA4, CA5), pero ese cambio aún no tiene una solicitud de cambio. Cuando exista, regístrala aquí con las columnas de arriba.</t>
        </is>
      </c>
      <c r="B3" s="38" t="n"/>
      <c r="C3" s="38" t="n"/>
      <c r="D3" s="38" t="n"/>
      <c r="E3" s="38" t="n"/>
      <c r="F3" s="38" t="n"/>
      <c r="G3" s="38" t="n"/>
      <c r="H3" s="38" t="n"/>
      <c r="I3" s="38" t="n"/>
      <c r="J3" s="38" t="n"/>
      <c r="K3" s="38" t="n"/>
      <c r="L3" s="38" t="n"/>
      <c r="M3" s="38" t="n"/>
    </row>
    <row r="4" ht="30" customHeight="1" s="36"/>
    <row r="5" ht="30" customHeight="1" s="36"/>
    <row r="6" ht="30" customHeight="1" s="36"/>
    <row r="7" ht="30" customHeight="1" s="36"/>
    <row r="8"/>
    <row r="9"/>
    <row r="10"/>
    <row r="11"/>
    <row r="12"/>
    <row r="13"/>
    <row r="14"/>
    <row r="15"/>
    <row r="16"/>
    <row r="17"/>
    <row r="18"/>
    <row r="19"/>
    <row r="20"/>
    <row r="21"/>
    <row r="22"/>
    <row r="23"/>
    <row r="24"/>
    <row r="25"/>
    <row r="26"/>
    <row r="27"/>
    <row r="28"/>
    <row r="29"/>
    <row r="30"/>
    <row r="31"/>
    <row r="32"/>
    <row r="33"/>
    <row r="34"/>
    <row r="35"/>
    <row r="36"/>
    <row r="37"/>
    <row r="38"/>
    <row r="39"/>
    <row r="40"/>
  </sheetData>
  <mergeCells count="2">
    <mergeCell ref="A3:M3"/>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0"/>
  <sheetViews>
    <sheetView showGridLines="0" tabSelected="1" workbookViewId="0">
      <pane ySplit="2" topLeftCell="A3" activePane="bottomLeft" state="frozen"/>
      <selection pane="bottomLeft" activeCell="K7" sqref="K7"/>
    </sheetView>
  </sheetViews>
  <sheetFormatPr baseColWidth="10" defaultColWidth="8.83203125" defaultRowHeight="15"/>
  <cols>
    <col width="17" customWidth="1" style="36" min="1" max="2"/>
    <col width="16" customWidth="1" style="36" min="2" max="2"/>
    <col width="40" customWidth="1" style="36" min="3" max="3"/>
    <col width="10" customWidth="1" style="36" min="4" max="4"/>
    <col width="20" customWidth="1" style="36" min="5" max="6"/>
    <col width="14" customWidth="1" style="36" min="6" max="6"/>
    <col width="22" customWidth="1" style="36" min="7" max="7"/>
    <col width="15" customWidth="1" style="36" min="8" max="8"/>
    <col width="14" customWidth="1" style="36" min="9" max="9"/>
    <col width="34" customWidth="1" style="36" min="10" max="10"/>
    <col width="34" customWidth="1" style="36" min="11" max="11"/>
  </cols>
  <sheetData>
    <row r="1" ht="36" customHeight="1" s="36">
      <c r="A1" s="69" t="inlineStr">
        <is>
          <t>CATÁLOGO DE ARTEFACTOS</t>
        </is>
      </c>
      <c r="B1" s="69" t="n"/>
      <c r="C1" s="69" t="n"/>
      <c r="D1" s="69" t="n"/>
      <c r="E1" s="69" t="n"/>
      <c r="F1" s="69" t="n"/>
      <c r="G1" s="69" t="n"/>
      <c r="H1" s="69" t="n"/>
      <c r="I1" s="69" t="n"/>
      <c r="J1" s="69" t="n"/>
      <c r="K1" s="69" t="n"/>
    </row>
    <row r="2" ht="34" customHeight="1" s="36">
      <c r="A2" s="100" t="inlineStr">
        <is>
          <t>ID Artefacto</t>
        </is>
      </c>
      <c r="B2" s="101" t="inlineStr">
        <is>
          <t>Tipo</t>
        </is>
      </c>
      <c r="C2" s="71" t="inlineStr">
        <is>
          <t>Nombre / Descripción</t>
        </is>
      </c>
      <c r="D2" s="101" t="inlineStr">
        <is>
          <t>Versión actual</t>
        </is>
      </c>
      <c r="E2" s="101" t="inlineStr">
        <is>
          <t>Propietario</t>
        </is>
      </c>
      <c r="F2" s="101" t="inlineStr">
        <is>
          <t>Última actualización</t>
        </is>
      </c>
      <c r="G2" s="72" t="inlineStr">
        <is>
          <t>Requisitos vinculados</t>
        </is>
      </c>
      <c r="H2" s="100" t="inlineStr">
        <is>
          <t>Estado final</t>
        </is>
      </c>
      <c r="I2" s="100" t="inlineStr">
        <is>
          <t>Fecha de cierre</t>
        </is>
      </c>
      <c r="J2" s="100" t="inlineStr">
        <is>
          <t>Artefactos relacionados</t>
        </is>
      </c>
      <c r="K2" s="100" t="inlineStr">
        <is>
          <t>Ruta</t>
        </is>
      </c>
    </row>
    <row r="3" ht="31" customHeight="1" s="36">
      <c r="A3" s="33" t="inlineStr">
        <is>
          <t>C1-BACKLOG</t>
        </is>
      </c>
      <c r="B3" s="15" t="inlineStr">
        <is>
          <t>Documento</t>
        </is>
      </c>
      <c r="C3" s="2" t="inlineStr">
        <is>
          <t>Product Backlog priorizado (HU1–HU10, T1–T12)</t>
        </is>
      </c>
      <c r="D3" s="13" t="inlineStr">
        <is>
          <t>1.0</t>
        </is>
      </c>
      <c r="E3" s="13" t="inlineStr">
        <is>
          <t>Santiago Maya Horta</t>
        </is>
      </c>
      <c r="F3" s="13" t="inlineStr">
        <is>
          <t>2026-09-21</t>
        </is>
      </c>
      <c r="G3" s="2" t="inlineStr">
        <is>
          <t>—</t>
        </is>
      </c>
      <c r="H3" s="13" t="inlineStr">
        <is>
          <t>Entregado</t>
        </is>
      </c>
      <c r="I3" s="13" t="inlineStr">
        <is>
          <t>pendiente</t>
        </is>
      </c>
      <c r="J3" s="2" t="inlineStr">
        <is>
          <t>C1-VB</t>
        </is>
      </c>
      <c r="K3" s="2" t="inlineStr">
        <is>
          <t>caso1-aerea/Product_Backlog_Priorizado.docx</t>
        </is>
      </c>
    </row>
    <row r="4" ht="22" customHeight="1" s="36">
      <c r="A4" s="33" t="inlineStr">
        <is>
          <t>C1-IMPACT</t>
        </is>
      </c>
      <c r="B4" s="35" t="inlineStr">
        <is>
          <t>Diagrama</t>
        </is>
      </c>
      <c r="C4" s="2" t="inlineStr">
        <is>
          <t>Impact Mapping de la RFC-B1</t>
        </is>
      </c>
      <c r="D4" s="13" t="inlineStr">
        <is>
          <t>1.0</t>
        </is>
      </c>
      <c r="E4" s="13" t="inlineStr">
        <is>
          <t>Santiago Maya Horta</t>
        </is>
      </c>
      <c r="F4" s="13" t="inlineStr">
        <is>
          <t>2026-09-21</t>
        </is>
      </c>
      <c r="G4" s="2" t="inlineStr">
        <is>
          <t>—</t>
        </is>
      </c>
      <c r="H4" s="13" t="inlineStr">
        <is>
          <t>Entregado</t>
        </is>
      </c>
      <c r="I4" s="13" t="inlineStr">
        <is>
          <t>2026-09-09</t>
        </is>
      </c>
      <c r="J4" s="2" t="inlineStr">
        <is>
          <t>C1-RFC-B1, C1-BACKLOG, C1-VB</t>
        </is>
      </c>
      <c r="K4" s="2" t="inlineStr">
        <is>
          <t>caso1-aerea/Impact_Mapping_RFC-B1.png</t>
        </is>
      </c>
    </row>
    <row r="5" ht="22" customHeight="1" s="36">
      <c r="A5" s="33" t="inlineStr">
        <is>
          <t>C1-RFC-A1</t>
        </is>
      </c>
      <c r="B5" s="15" t="inlineStr">
        <is>
          <t>Documento</t>
        </is>
      </c>
      <c r="C5" s="2" t="inlineStr">
        <is>
          <t>RFC-A1 · Parámetro de clima extremo</t>
        </is>
      </c>
      <c r="D5" s="13" t="inlineStr">
        <is>
          <t>1.0</t>
        </is>
      </c>
      <c r="E5" s="13" t="inlineStr">
        <is>
          <t>Santiago Maya Horta</t>
        </is>
      </c>
      <c r="F5" s="13" t="inlineStr">
        <is>
          <t>2026-09-21</t>
        </is>
      </c>
      <c r="G5" s="2" t="inlineStr">
        <is>
          <t>—</t>
        </is>
      </c>
      <c r="H5" s="13" t="inlineStr">
        <is>
          <t>Entregado</t>
        </is>
      </c>
      <c r="I5" s="13" t="inlineStr">
        <is>
          <t>2026-09-09</t>
        </is>
      </c>
      <c r="J5" s="2" t="inlineStr">
        <is>
          <t>C1-BACKLOG, C1-VB</t>
        </is>
      </c>
      <c r="K5" s="2" t="inlineStr">
        <is>
          <t>caso1-aerea/RFC-A1_Clima_Extremo.docx</t>
        </is>
      </c>
    </row>
    <row r="6" ht="22" customHeight="1" s="36">
      <c r="A6" s="33" t="inlineStr">
        <is>
          <t>C1-RFC-A2</t>
        </is>
      </c>
      <c r="B6" s="15" t="inlineStr">
        <is>
          <t>Documento</t>
        </is>
      </c>
      <c r="C6" s="2" t="inlineStr">
        <is>
          <t>RFC-A2 · Notificaciones automáticas</t>
        </is>
      </c>
      <c r="D6" s="13" t="inlineStr">
        <is>
          <t>1.0</t>
        </is>
      </c>
      <c r="E6" s="13" t="inlineStr">
        <is>
          <t>Santiago Maya Horta</t>
        </is>
      </c>
      <c r="F6" s="13" t="inlineStr">
        <is>
          <t>2026-09-21</t>
        </is>
      </c>
      <c r="G6" s="2" t="inlineStr">
        <is>
          <t>—</t>
        </is>
      </c>
      <c r="H6" s="13" t="inlineStr">
        <is>
          <t>Entregado</t>
        </is>
      </c>
      <c r="I6" s="13" t="inlineStr">
        <is>
          <t>2026-09-09</t>
        </is>
      </c>
      <c r="J6" s="2" t="inlineStr">
        <is>
          <t>C1-BACKLOG, C1-VB</t>
        </is>
      </c>
      <c r="K6" s="2" t="inlineStr">
        <is>
          <t>caso1-aerea/RFC-A2_Notificaciones.docx</t>
        </is>
      </c>
    </row>
    <row r="7" ht="31" customHeight="1" s="36">
      <c r="A7" s="33" t="inlineStr">
        <is>
          <t>C1-RFC-B1</t>
        </is>
      </c>
      <c r="B7" s="15" t="inlineStr">
        <is>
          <t>Documento</t>
        </is>
      </c>
      <c r="C7" s="2" t="inlineStr">
        <is>
          <t>RFC-B1 · Nuevo criterio de puntuación</t>
        </is>
      </c>
      <c r="D7" s="13" t="inlineStr">
        <is>
          <t>1.0</t>
        </is>
      </c>
      <c r="E7" s="13" t="inlineStr">
        <is>
          <t>Santiago Maya Horta</t>
        </is>
      </c>
      <c r="F7" s="13" t="inlineStr">
        <is>
          <t>2026-09-21</t>
        </is>
      </c>
      <c r="G7" s="2" t="inlineStr">
        <is>
          <t>—</t>
        </is>
      </c>
      <c r="H7" s="13" t="inlineStr">
        <is>
          <t>Entregado</t>
        </is>
      </c>
      <c r="I7" s="13" t="inlineStr">
        <is>
          <t>2026-09-09</t>
        </is>
      </c>
      <c r="J7" s="2" t="inlineStr">
        <is>
          <t>C1-BACKLOG, C1-VB, C1-IMPACT</t>
        </is>
      </c>
      <c r="K7" s="2" t="inlineStr">
        <is>
          <t>caso1-aerea/RFC-B1_Criterio_Puntuacion.docx</t>
        </is>
      </c>
    </row>
    <row r="8" ht="31" customHeight="1" s="36">
      <c r="A8" s="33" t="inlineStr">
        <is>
          <t>C1-RFC-B2</t>
        </is>
      </c>
      <c r="B8" s="15" t="inlineStr">
        <is>
          <t>Documento</t>
        </is>
      </c>
      <c r="C8" s="2" t="inlineStr">
        <is>
          <t>RFC-B2 · Fórmula híbrida (simulación + vuelo real)</t>
        </is>
      </c>
      <c r="D8" s="13" t="inlineStr">
        <is>
          <t>1.0</t>
        </is>
      </c>
      <c r="E8" s="13" t="inlineStr">
        <is>
          <t>Santiago Maya Horta</t>
        </is>
      </c>
      <c r="F8" s="13" t="inlineStr">
        <is>
          <t>2026-09-21</t>
        </is>
      </c>
      <c r="G8" s="2" t="inlineStr">
        <is>
          <t>—</t>
        </is>
      </c>
      <c r="H8" s="13" t="inlineStr">
        <is>
          <t>Entregado</t>
        </is>
      </c>
      <c r="I8" s="13" t="inlineStr">
        <is>
          <t>2026-09-09</t>
        </is>
      </c>
      <c r="J8" s="2" t="inlineStr">
        <is>
          <t>C1-BACKLOG, C1-VB</t>
        </is>
      </c>
      <c r="K8" s="2" t="inlineStr">
        <is>
          <t>caso1-aerea/RFC-B2_Formula_Hibrida.docx</t>
        </is>
      </c>
    </row>
    <row r="9" ht="22" customHeight="1" s="36">
      <c r="A9" s="33" t="inlineStr">
        <is>
          <t>C1-RFC-C1</t>
        </is>
      </c>
      <c r="B9" s="15" t="inlineStr">
        <is>
          <t>Documento</t>
        </is>
      </c>
      <c r="C9" s="2" t="inlineStr">
        <is>
          <t>RFC-C1 · Predicción con IA</t>
        </is>
      </c>
      <c r="D9" s="13" t="inlineStr">
        <is>
          <t>1.0</t>
        </is>
      </c>
      <c r="E9" s="13" t="inlineStr">
        <is>
          <t>Santiago Maya Horta</t>
        </is>
      </c>
      <c r="F9" s="13" t="inlineStr">
        <is>
          <t>2026-09-21</t>
        </is>
      </c>
      <c r="G9" s="2" t="inlineStr">
        <is>
          <t>—</t>
        </is>
      </c>
      <c r="H9" s="13" t="inlineStr">
        <is>
          <t>Entregado</t>
        </is>
      </c>
      <c r="I9" s="13" t="inlineStr">
        <is>
          <t>2026-09-09</t>
        </is>
      </c>
      <c r="J9" s="2" t="inlineStr">
        <is>
          <t>C1-BACKLOG, C1-VB</t>
        </is>
      </c>
      <c r="K9" s="2" t="inlineStr">
        <is>
          <t>caso1-aerea/RFC-C1_IA_Predictiva.docx</t>
        </is>
      </c>
    </row>
    <row r="10" ht="31" customHeight="1" s="36">
      <c r="A10" s="33" t="inlineStr">
        <is>
          <t>C1-RFC-C2</t>
        </is>
      </c>
      <c r="B10" s="15" t="inlineStr">
        <is>
          <t>Documento</t>
        </is>
      </c>
      <c r="C10" s="2" t="inlineStr">
        <is>
          <t>RFC-C2 · Alineación normativa NAC-2026</t>
        </is>
      </c>
      <c r="D10" s="13" t="inlineStr">
        <is>
          <t>1.0</t>
        </is>
      </c>
      <c r="E10" s="13" t="inlineStr">
        <is>
          <t>Santiago Maya Horta</t>
        </is>
      </c>
      <c r="F10" s="13" t="inlineStr">
        <is>
          <t>2026-09-21</t>
        </is>
      </c>
      <c r="G10" s="2" t="inlineStr">
        <is>
          <t>—</t>
        </is>
      </c>
      <c r="H10" s="13" t="inlineStr">
        <is>
          <t>Entregado</t>
        </is>
      </c>
      <c r="I10" s="13" t="inlineStr">
        <is>
          <t>2026-09-09</t>
        </is>
      </c>
      <c r="J10" s="2" t="inlineStr">
        <is>
          <t>C1-BACKLOG, C1-VB</t>
        </is>
      </c>
      <c r="K10" s="2" t="inlineStr">
        <is>
          <t>caso1-aerea/RFC-C2_Alineacion_Normativa.docx</t>
        </is>
      </c>
    </row>
    <row r="11" ht="22" customHeight="1" s="36">
      <c r="A11" s="33" t="inlineStr">
        <is>
          <t>C1-VB</t>
        </is>
      </c>
      <c r="B11" s="15" t="inlineStr">
        <is>
          <t>Documento</t>
        </is>
      </c>
      <c r="C11" s="2" t="inlineStr">
        <is>
          <t>Product Vision Board</t>
        </is>
      </c>
      <c r="D11" s="13" t="inlineStr">
        <is>
          <t>1.0</t>
        </is>
      </c>
      <c r="E11" s="13" t="inlineStr">
        <is>
          <t>Santiago Maya Horta</t>
        </is>
      </c>
      <c r="F11" s="13" t="inlineStr">
        <is>
          <t>2026-09-21</t>
        </is>
      </c>
      <c r="G11" s="2" t="inlineStr">
        <is>
          <t>—</t>
        </is>
      </c>
      <c r="H11" s="13" t="inlineStr">
        <is>
          <t>Entregado</t>
        </is>
      </c>
      <c r="I11" s="13" t="inlineStr">
        <is>
          <t>pendiente</t>
        </is>
      </c>
      <c r="J11" s="2" t="inlineStr">
        <is>
          <t>C1-BACKLOG</t>
        </is>
      </c>
      <c r="K11" s="2" t="inlineStr">
        <is>
          <t>caso1-aerea/Product_Vision_Board.docx</t>
        </is>
      </c>
    </row>
    <row r="12" ht="31" customHeight="1" s="36">
      <c r="A12" s="33" t="inlineStr">
        <is>
          <t>C2-SRS</t>
        </is>
      </c>
      <c r="B12" s="15" t="inlineStr">
        <is>
          <t>Documento</t>
        </is>
      </c>
      <c r="C12" s="2" t="inlineStr">
        <is>
          <t>SRS del Módulo de Transmisión Mecánica (13 RF y 5 RNF)</t>
        </is>
      </c>
      <c r="D12" s="13" t="inlineStr">
        <is>
          <t>1.0</t>
        </is>
      </c>
      <c r="E12" s="13" t="inlineStr">
        <is>
          <t>Santiago Maya Horta</t>
        </is>
      </c>
      <c r="F12" s="13" t="inlineStr">
        <is>
          <t>2026-09-21</t>
        </is>
      </c>
      <c r="G12" s="2" t="inlineStr">
        <is>
          <t>—</t>
        </is>
      </c>
      <c r="H12" s="13" t="inlineStr">
        <is>
          <t>Entregado</t>
        </is>
      </c>
      <c r="I12" s="13" t="inlineStr">
        <is>
          <t>2026-08-13</t>
        </is>
      </c>
      <c r="J12" s="2" t="inlineStr">
        <is>
          <t>C2-TC</t>
        </is>
      </c>
      <c r="K12" s="2" t="inlineStr">
        <is>
          <t>caso2-simulador/SRS_Simulador_Transmision_Mecanica.docx</t>
        </is>
      </c>
    </row>
    <row r="13" ht="31" customHeight="1" s="36">
      <c r="A13" s="33" t="inlineStr">
        <is>
          <t>C2-TC</t>
        </is>
      </c>
      <c r="B13" s="15" t="inlineStr">
        <is>
          <t>Documento</t>
        </is>
      </c>
      <c r="C13" s="2" t="inlineStr">
        <is>
          <t>Test Case del Módulo de Transmisión (TC-01 a TC-05)</t>
        </is>
      </c>
      <c r="D13" s="13" t="inlineStr">
        <is>
          <t>1.0</t>
        </is>
      </c>
      <c r="E13" s="13" t="inlineStr">
        <is>
          <t>Santiago Maya Horta</t>
        </is>
      </c>
      <c r="F13" s="13" t="inlineStr">
        <is>
          <t>2026-09-21</t>
        </is>
      </c>
      <c r="G13" s="2" t="inlineStr">
        <is>
          <t>—</t>
        </is>
      </c>
      <c r="H13" s="13" t="inlineStr">
        <is>
          <t>Entregado</t>
        </is>
      </c>
      <c r="I13" s="13" t="inlineStr">
        <is>
          <t>2026-08-13</t>
        </is>
      </c>
      <c r="J13" s="2" t="inlineStr">
        <is>
          <t>C2-SRS</t>
        </is>
      </c>
      <c r="K13" s="2" t="inlineStr">
        <is>
          <t>caso2-simulador/Test_Case_Simulador_Transmision.docx</t>
        </is>
      </c>
    </row>
    <row r="14" ht="22" customHeight="1" s="36">
      <c r="A14" s="33" t="inlineStr">
        <is>
          <t>DOC-PROMPT</t>
        </is>
      </c>
      <c r="B14" s="33" t="inlineStr">
        <is>
          <t>Documentación</t>
        </is>
      </c>
      <c r="C14" s="2" t="inlineStr">
        <is>
          <t>Prompt para AI Studio (versión corregida)</t>
        </is>
      </c>
      <c r="D14" s="13" t="inlineStr">
        <is>
          <t>1.0</t>
        </is>
      </c>
      <c r="E14" s="13" t="inlineStr">
        <is>
          <t>Santiago Maya Horta</t>
        </is>
      </c>
      <c r="F14" s="13" t="inlineStr">
        <is>
          <t>2026-09-21</t>
        </is>
      </c>
      <c r="G14" s="2" t="inlineStr">
        <is>
          <t>—</t>
        </is>
      </c>
      <c r="H14" s="13" t="inlineStr">
        <is>
          <t>Entregado</t>
        </is>
      </c>
      <c r="I14" s="13" t="inlineStr">
        <is>
          <t>2026-09-20</t>
        </is>
      </c>
      <c r="J14" s="2" t="inlineStr">
        <is>
          <t>DOC-VAL</t>
        </is>
      </c>
      <c r="K14" s="2" t="inlineStr">
        <is>
          <t>caso3-dietas/docs/PROMPT_AI_STUDIO.md</t>
        </is>
      </c>
    </row>
    <row r="15" ht="22" customHeight="1" s="36">
      <c r="A15" s="33" t="inlineStr">
        <is>
          <t>DOC-README</t>
        </is>
      </c>
      <c r="B15" s="33" t="inlineStr">
        <is>
          <t>Documentación</t>
        </is>
      </c>
      <c r="C15" s="2" t="inlineStr">
        <is>
          <t>README del repositorio</t>
        </is>
      </c>
      <c r="D15" s="13" t="inlineStr">
        <is>
          <t>1.0</t>
        </is>
      </c>
      <c r="E15" s="13" t="inlineStr">
        <is>
          <t>Santiago Maya Horta</t>
        </is>
      </c>
      <c r="F15" s="13" t="inlineStr">
        <is>
          <t>2026-09-21</t>
        </is>
      </c>
      <c r="G15" s="2" t="inlineStr">
        <is>
          <t>—</t>
        </is>
      </c>
      <c r="H15" s="13" t="inlineStr">
        <is>
          <t>Entregado</t>
        </is>
      </c>
      <c r="I15" s="13" t="inlineStr">
        <is>
          <t>2026-09-21</t>
        </is>
      </c>
      <c r="J15" s="2" t="inlineStr">
        <is>
          <t>DOC-VAL, TOOL-MATRIZ</t>
        </is>
      </c>
      <c r="K15" s="2" t="inlineStr">
        <is>
          <t>caso3-dietas/README.md</t>
        </is>
      </c>
    </row>
    <row r="16" ht="31" customHeight="1" s="36">
      <c r="A16" s="33" t="inlineStr">
        <is>
          <t>DOC-VAL</t>
        </is>
      </c>
      <c r="B16" s="15" t="inlineStr">
        <is>
          <t>Documento</t>
        </is>
      </c>
      <c r="C16" s="2" t="inlineStr">
        <is>
          <t>Documento de validación de la épica EPC28</t>
        </is>
      </c>
      <c r="D16" s="13" t="inlineStr">
        <is>
          <t>1.0</t>
        </is>
      </c>
      <c r="E16" s="13" t="inlineStr">
        <is>
          <t>Santiago Maya Horta</t>
        </is>
      </c>
      <c r="F16" s="13" t="inlineStr">
        <is>
          <t>2026-09-21</t>
        </is>
      </c>
      <c r="G16" s="2" t="inlineStr">
        <is>
          <t>RF-A1, RF-A2, RF-A3, RF-A4, RF-A5, RNF-1</t>
        </is>
      </c>
      <c r="H16" s="13" t="inlineStr">
        <is>
          <t>En desarrollo</t>
        </is>
      </c>
      <c r="I16" s="13" t="inlineStr">
        <is>
          <t>pendiente</t>
        </is>
      </c>
      <c r="J16" s="2" t="inlineStr">
        <is>
          <t>COD-LOGIC, COD-PATIENTVIEW, COD-ASSIGN, COD-DRAWER, COD-CONTEXT, TEST-MANUAL</t>
        </is>
      </c>
      <c r="K16" s="2" t="inlineStr">
        <is>
          <t>caso3-dietas/docs/Documento_de_validacion.md</t>
        </is>
      </c>
    </row>
    <row r="17" ht="31" customHeight="1" s="36">
      <c r="A17" s="33" t="inlineStr">
        <is>
          <t>COD-ABOUT</t>
        </is>
      </c>
      <c r="B17" s="34" t="inlineStr">
        <is>
          <t>Código</t>
        </is>
      </c>
      <c r="C17" s="2" t="inlineStr">
        <is>
          <t>Pantalla «Objetivo» con los requisitos priorizados</t>
        </is>
      </c>
      <c r="D17" s="13" t="inlineStr">
        <is>
          <t>0.1.0</t>
        </is>
      </c>
      <c r="E17" s="13" t="inlineStr">
        <is>
          <t>Santiago Maya Horta</t>
        </is>
      </c>
      <c r="F17" s="13" t="inlineStr">
        <is>
          <t>2026-09-21</t>
        </is>
      </c>
      <c r="G17" s="2" t="inlineStr">
        <is>
          <t>—</t>
        </is>
      </c>
      <c r="H17" s="13" t="inlineStr">
        <is>
          <t>Implementado</t>
        </is>
      </c>
      <c r="I17" s="13" t="inlineStr">
        <is>
          <t>2026-09-20</t>
        </is>
      </c>
      <c r="J17" s="2" t="inlineStr">
        <is>
          <t>DOC-VAL</t>
        </is>
      </c>
      <c r="K17" s="2" t="inlineStr">
        <is>
          <t>caso3-dietas/src/screens/About.jsx</t>
        </is>
      </c>
    </row>
    <row r="18" ht="31" customHeight="1" s="36">
      <c r="A18" s="33" t="inlineStr">
        <is>
          <t>COD-APP</t>
        </is>
      </c>
      <c r="B18" s="34" t="inlineStr">
        <is>
          <t>Código</t>
        </is>
      </c>
      <c r="C18" s="2" t="inlineStr">
        <is>
          <t>Componente raíz y registro de asignaciones</t>
        </is>
      </c>
      <c r="D18" s="13" t="inlineStr">
        <is>
          <t>0.1.0</t>
        </is>
      </c>
      <c r="E18" s="13" t="inlineStr">
        <is>
          <t>Santiago Maya Horta</t>
        </is>
      </c>
      <c r="F18" s="13" t="inlineStr">
        <is>
          <t>2026-09-21</t>
        </is>
      </c>
      <c r="G18" s="2" t="inlineStr">
        <is>
          <t>RF-A5</t>
        </is>
      </c>
      <c r="H18" s="13" t="inlineStr">
        <is>
          <t>Implementado</t>
        </is>
      </c>
      <c r="I18" s="13" t="inlineStr">
        <is>
          <t>2026-09-20</t>
        </is>
      </c>
      <c r="J18" s="2" t="inlineStr">
        <is>
          <t>COD-PATIENTVIEW, COD-PATIENTS, COD-LOGIN</t>
        </is>
      </c>
      <c r="K18" s="2" t="inlineStr">
        <is>
          <t>caso3-dietas/src/App.jsx</t>
        </is>
      </c>
    </row>
    <row r="19" ht="31" customHeight="1" s="36">
      <c r="A19" s="33" t="inlineStr">
        <is>
          <t>COD-ASSIGN</t>
        </is>
      </c>
      <c r="B19" s="34" t="inlineStr">
        <is>
          <t>Código</t>
        </is>
      </c>
      <c r="C19" s="2" t="inlineStr">
        <is>
          <t>Modal de confirmación de la asignación</t>
        </is>
      </c>
      <c r="D19" s="13" t="inlineStr">
        <is>
          <t>0.1.0</t>
        </is>
      </c>
      <c r="E19" s="13" t="inlineStr">
        <is>
          <t>Santiago Maya Horta</t>
        </is>
      </c>
      <c r="F19" s="13" t="inlineStr">
        <is>
          <t>2026-09-21</t>
        </is>
      </c>
      <c r="G19" s="2" t="inlineStr">
        <is>
          <t>RF-A3, RF-A5</t>
        </is>
      </c>
      <c r="H19" s="13" t="inlineStr">
        <is>
          <t>Implementado</t>
        </is>
      </c>
      <c r="I19" s="13" t="inlineStr">
        <is>
          <t>2026-09-20</t>
        </is>
      </c>
      <c r="J19" s="2" t="inlineStr">
        <is>
          <t>COD-LOGIC, COD-PATIENTVIEW, TEST-MANUAL</t>
        </is>
      </c>
      <c r="K19" s="2" t="inlineStr">
        <is>
          <t>caso3-dietas/src/screens/AssignModal.jsx</t>
        </is>
      </c>
    </row>
    <row r="20" ht="22" customHeight="1" s="36">
      <c r="A20" s="33" t="inlineStr">
        <is>
          <t>COD-CATALOG</t>
        </is>
      </c>
      <c r="B20" s="34" t="inlineStr">
        <is>
          <t>Código</t>
        </is>
      </c>
      <c r="C20" s="2" t="inlineStr">
        <is>
          <t>Consulta de catálogos (solo lectura)</t>
        </is>
      </c>
      <c r="D20" s="13" t="inlineStr">
        <is>
          <t>0.1.0</t>
        </is>
      </c>
      <c r="E20" s="13" t="inlineStr">
        <is>
          <t>Santiago Maya Horta</t>
        </is>
      </c>
      <c r="F20" s="13" t="inlineStr">
        <is>
          <t>2026-09-21</t>
        </is>
      </c>
      <c r="G20" s="2" t="inlineStr">
        <is>
          <t>RF1, RF2, RF3, RF4, RF5</t>
        </is>
      </c>
      <c r="H20" s="13" t="inlineStr">
        <is>
          <t>Implementado</t>
        </is>
      </c>
      <c r="I20" s="13" t="inlineStr">
        <is>
          <t>2026-09-20</t>
        </is>
      </c>
      <c r="J20" s="2" t="inlineStr">
        <is>
          <t>COD-DATA</t>
        </is>
      </c>
      <c r="K20" s="2" t="inlineStr">
        <is>
          <t>caso3-dietas/src/screens/Catalog.jsx</t>
        </is>
      </c>
    </row>
    <row r="21" ht="31" customHeight="1" s="36">
      <c r="A21" s="33" t="inlineStr">
        <is>
          <t>COD-CONTEXT</t>
        </is>
      </c>
      <c r="B21" s="34" t="inlineStr">
        <is>
          <t>Código</t>
        </is>
      </c>
      <c r="C21" s="2" t="inlineStr">
        <is>
          <t>Franja de contexto del paciente</t>
        </is>
      </c>
      <c r="D21" s="13" t="inlineStr">
        <is>
          <t>0.1.0</t>
        </is>
      </c>
      <c r="E21" s="13" t="inlineStr">
        <is>
          <t>Santiago Maya Horta</t>
        </is>
      </c>
      <c r="F21" s="13" t="inlineStr">
        <is>
          <t>2026-09-21</t>
        </is>
      </c>
      <c r="G21" s="2" t="inlineStr">
        <is>
          <t>RF-A1, RF-A4</t>
        </is>
      </c>
      <c r="H21" s="13" t="inlineStr">
        <is>
          <t>Implementado</t>
        </is>
      </c>
      <c r="I21" s="13" t="inlineStr">
        <is>
          <t>2026-09-20</t>
        </is>
      </c>
      <c r="J21" s="2" t="inlineStr">
        <is>
          <t>COD-DRAWER, COD-PATIENTVIEW</t>
        </is>
      </c>
      <c r="K21" s="2" t="inlineStr">
        <is>
          <t>caso3-dietas/src/screens/PatientContext.jsx</t>
        </is>
      </c>
    </row>
    <row r="22" ht="31" customHeight="1" s="36">
      <c r="A22" s="33" t="inlineStr">
        <is>
          <t>COD-DATA</t>
        </is>
      </c>
      <c r="B22" s="34" t="inlineStr">
        <is>
          <t>Código</t>
        </is>
      </c>
      <c r="C22" s="2" t="inlineStr">
        <is>
          <t>Datos de demostración (alimentos, dietas, pacientes)</t>
        </is>
      </c>
      <c r="D22" s="13" t="inlineStr">
        <is>
          <t>0.1.0</t>
        </is>
      </c>
      <c r="E22" s="13" t="inlineStr">
        <is>
          <t>Santiago Maya Horta</t>
        </is>
      </c>
      <c r="F22" s="13" t="inlineStr">
        <is>
          <t>2026-09-21</t>
        </is>
      </c>
      <c r="G22" s="2" t="inlineStr">
        <is>
          <t>RF-A1, RF-A2, RF-A3, RF-A4</t>
        </is>
      </c>
      <c r="H22" s="13" t="inlineStr">
        <is>
          <t>Implementado</t>
        </is>
      </c>
      <c r="I22" s="13" t="inlineStr">
        <is>
          <t>2026-09-20</t>
        </is>
      </c>
      <c r="J22" s="2" t="inlineStr">
        <is>
          <t>COD-LOGIC, TEST-LOGIC</t>
        </is>
      </c>
      <c r="K22" s="2" t="inlineStr">
        <is>
          <t>caso3-dietas/src/data.js</t>
        </is>
      </c>
    </row>
    <row r="23" ht="22" customHeight="1" s="36">
      <c r="A23" s="33" t="inlineStr">
        <is>
          <t>COD-DRAWER</t>
        </is>
      </c>
      <c r="B23" s="34" t="inlineStr">
        <is>
          <t>Código</t>
        </is>
      </c>
      <c r="C23" s="2" t="inlineStr">
        <is>
          <t>Panel lateral con la ficha técnica de la dieta</t>
        </is>
      </c>
      <c r="D23" s="13" t="inlineStr">
        <is>
          <t>0.1.0</t>
        </is>
      </c>
      <c r="E23" s="13" t="inlineStr">
        <is>
          <t>Santiago Maya Horta</t>
        </is>
      </c>
      <c r="F23" s="13" t="inlineStr">
        <is>
          <t>2026-09-21</t>
        </is>
      </c>
      <c r="G23" s="2" t="inlineStr">
        <is>
          <t>RF-A4</t>
        </is>
      </c>
      <c r="H23" s="13" t="inlineStr">
        <is>
          <t>Implementado</t>
        </is>
      </c>
      <c r="I23" s="13" t="inlineStr">
        <is>
          <t>2026-09-20</t>
        </is>
      </c>
      <c r="J23" s="2" t="inlineStr">
        <is>
          <t>COD-LOGIC, COD-CONTEXT, COD-PATIENTVIEW</t>
        </is>
      </c>
      <c r="K23" s="2" t="inlineStr">
        <is>
          <t>caso3-dietas/src/screens/DietDrawer.jsx</t>
        </is>
      </c>
    </row>
    <row r="24" ht="31" customHeight="1" s="36">
      <c r="A24" s="33" t="inlineStr">
        <is>
          <t>COD-LOGIC</t>
        </is>
      </c>
      <c r="B24" s="34" t="inlineStr">
        <is>
          <t>Código</t>
        </is>
      </c>
      <c r="C24" s="2" t="inlineStr">
        <is>
          <t>Cruce de dietas con alergias e incompatibilidades</t>
        </is>
      </c>
      <c r="D24" s="13" t="inlineStr">
        <is>
          <t>0.1.0</t>
        </is>
      </c>
      <c r="E24" s="13" t="inlineStr">
        <is>
          <t>Santiago Maya Horta</t>
        </is>
      </c>
      <c r="F24" s="13" t="inlineStr">
        <is>
          <t>2026-09-21</t>
        </is>
      </c>
      <c r="G24" s="2" t="inlineStr">
        <is>
          <t>RF-A3</t>
        </is>
      </c>
      <c r="H24" s="13" t="inlineStr">
        <is>
          <t>Implementado</t>
        </is>
      </c>
      <c r="I24" s="13" t="inlineStr">
        <is>
          <t>2026-09-20</t>
        </is>
      </c>
      <c r="J24" s="2" t="inlineStr">
        <is>
          <t>COD-DATA, TEST-LOGIC, DOC-VAL</t>
        </is>
      </c>
      <c r="K24" s="2" t="inlineStr">
        <is>
          <t>caso3-dietas/src/logic.js</t>
        </is>
      </c>
    </row>
    <row r="25" ht="22" customHeight="1" s="36">
      <c r="A25" s="33" t="inlineStr">
        <is>
          <t>COD-LOGIN</t>
        </is>
      </c>
      <c r="B25" s="34" t="inlineStr">
        <is>
          <t>Código</t>
        </is>
      </c>
      <c r="C25" s="2" t="inlineStr">
        <is>
          <t>Inicio de sesión simulado con Google</t>
        </is>
      </c>
      <c r="D25" s="13" t="inlineStr">
        <is>
          <t>0.1.0</t>
        </is>
      </c>
      <c r="E25" s="13" t="inlineStr">
        <is>
          <t>Santiago Maya Horta</t>
        </is>
      </c>
      <c r="F25" s="13" t="inlineStr">
        <is>
          <t>2026-09-21</t>
        </is>
      </c>
      <c r="G25" s="2" t="inlineStr">
        <is>
          <t>—</t>
        </is>
      </c>
      <c r="H25" s="13" t="inlineStr">
        <is>
          <t>Implementado</t>
        </is>
      </c>
      <c r="I25" s="13" t="inlineStr">
        <is>
          <t>2026-09-20</t>
        </is>
      </c>
      <c r="J25" s="2" t="inlineStr">
        <is>
          <t>COD-APP, COD-DATA</t>
        </is>
      </c>
      <c r="K25" s="2" t="inlineStr">
        <is>
          <t>caso3-dietas/src/screens/Login.jsx</t>
        </is>
      </c>
    </row>
    <row r="26" ht="22" customHeight="1" s="36">
      <c r="A26" s="33" t="inlineStr">
        <is>
          <t>COD-MAIN</t>
        </is>
      </c>
      <c r="B26" s="34" t="inlineStr">
        <is>
          <t>Código</t>
        </is>
      </c>
      <c r="C26" s="2" t="inlineStr">
        <is>
          <t>Punto de entrada de la aplicación</t>
        </is>
      </c>
      <c r="D26" s="13" t="inlineStr">
        <is>
          <t>0.1.0</t>
        </is>
      </c>
      <c r="E26" s="13" t="inlineStr">
        <is>
          <t>Santiago Maya Horta</t>
        </is>
      </c>
      <c r="F26" s="13" t="inlineStr">
        <is>
          <t>2026-09-21</t>
        </is>
      </c>
      <c r="G26" s="2" t="inlineStr">
        <is>
          <t>—</t>
        </is>
      </c>
      <c r="H26" s="13" t="inlineStr">
        <is>
          <t>Implementado</t>
        </is>
      </c>
      <c r="I26" s="13" t="inlineStr">
        <is>
          <t>2026-09-20</t>
        </is>
      </c>
      <c r="J26" s="2" t="inlineStr">
        <is>
          <t>COD-APP, COD-THEME</t>
        </is>
      </c>
      <c r="K26" s="2" t="inlineStr">
        <is>
          <t>caso3-dietas/src/main.jsx</t>
        </is>
      </c>
    </row>
    <row r="27" ht="22" customHeight="1" s="36">
      <c r="A27" s="33" t="inlineStr">
        <is>
          <t>COD-PATIENTS</t>
        </is>
      </c>
      <c r="B27" s="34" t="inlineStr">
        <is>
          <t>Código</t>
        </is>
      </c>
      <c r="C27" s="2" t="inlineStr">
        <is>
          <t>Pantalla de selección de paciente</t>
        </is>
      </c>
      <c r="D27" s="13" t="inlineStr">
        <is>
          <t>0.1.0</t>
        </is>
      </c>
      <c r="E27" s="13" t="inlineStr">
        <is>
          <t>Santiago Maya Horta</t>
        </is>
      </c>
      <c r="F27" s="13" t="inlineStr">
        <is>
          <t>2026-09-21</t>
        </is>
      </c>
      <c r="G27" s="2" t="inlineStr">
        <is>
          <t>RF-A1</t>
        </is>
      </c>
      <c r="H27" s="13" t="inlineStr">
        <is>
          <t>Implementado</t>
        </is>
      </c>
      <c r="I27" s="13" t="inlineStr">
        <is>
          <t>2026-09-20</t>
        </is>
      </c>
      <c r="J27" s="2" t="inlineStr">
        <is>
          <t>COD-APP, COD-PATIENTVIEW</t>
        </is>
      </c>
      <c r="K27" s="2" t="inlineStr">
        <is>
          <t>caso3-dietas/src/screens/Patients.jsx</t>
        </is>
      </c>
    </row>
    <row r="28" ht="31" customHeight="1" s="36">
      <c r="A28" s="33" t="inlineStr">
        <is>
          <t>COD-PATIENTVIEW</t>
        </is>
      </c>
      <c r="B28" s="34" t="inlineStr">
        <is>
          <t>Código</t>
        </is>
      </c>
      <c r="C28" s="2" t="inlineStr">
        <is>
          <t>Vista del paciente: dietas, alertas y asignación</t>
        </is>
      </c>
      <c r="D28" s="13" t="inlineStr">
        <is>
          <t>0.1.0</t>
        </is>
      </c>
      <c r="E28" s="13" t="inlineStr">
        <is>
          <t>Santiago Maya Horta</t>
        </is>
      </c>
      <c r="F28" s="13" t="inlineStr">
        <is>
          <t>2026-09-21</t>
        </is>
      </c>
      <c r="G28" s="2" t="inlineStr">
        <is>
          <t>RF-A1, RF-A2, RF-A3, RF-A5, RNF-1</t>
        </is>
      </c>
      <c r="H28" s="13" t="inlineStr">
        <is>
          <t>Implementado</t>
        </is>
      </c>
      <c r="I28" s="13" t="inlineStr">
        <is>
          <t>2026-09-20</t>
        </is>
      </c>
      <c r="J28" s="2" t="inlineStr">
        <is>
          <t>COD-LOGIC, COD-DRAWER, COD-ASSIGN, COD-CONTEXT, DOC-VAL</t>
        </is>
      </c>
      <c r="K28" s="2" t="inlineStr">
        <is>
          <t>caso3-dietas/src/screens/PatientView.jsx</t>
        </is>
      </c>
    </row>
    <row r="29" ht="22" customHeight="1" s="36">
      <c r="A29" s="33" t="inlineStr">
        <is>
          <t>COD-SW</t>
        </is>
      </c>
      <c r="B29" s="34" t="inlineStr">
        <is>
          <t>Código</t>
        </is>
      </c>
      <c r="C29" s="2" t="inlineStr">
        <is>
          <t>Service worker de la PWA</t>
        </is>
      </c>
      <c r="D29" s="13" t="inlineStr">
        <is>
          <t>0.1.0</t>
        </is>
      </c>
      <c r="E29" s="13" t="inlineStr">
        <is>
          <t>Santiago Maya Horta</t>
        </is>
      </c>
      <c r="F29" s="13" t="inlineStr">
        <is>
          <t>2026-09-21</t>
        </is>
      </c>
      <c r="G29" s="2" t="inlineStr">
        <is>
          <t>—</t>
        </is>
      </c>
      <c r="H29" s="13" t="inlineStr">
        <is>
          <t>Implementado</t>
        </is>
      </c>
      <c r="I29" s="13" t="inlineStr">
        <is>
          <t>2026-09-20</t>
        </is>
      </c>
      <c r="J29" s="2" t="inlineStr">
        <is>
          <t>COD-MAIN</t>
        </is>
      </c>
      <c r="K29" s="2" t="inlineStr">
        <is>
          <t>caso3-dietas/public/sw.js</t>
        </is>
      </c>
    </row>
    <row r="30" ht="22" customHeight="1" s="36">
      <c r="A30" s="33" t="inlineStr">
        <is>
          <t>COD-THEME</t>
        </is>
      </c>
      <c r="B30" s="34" t="inlineStr">
        <is>
          <t>Código</t>
        </is>
      </c>
      <c r="C30" s="2" t="inlineStr">
        <is>
          <t>Tema visual y estilos globales</t>
        </is>
      </c>
      <c r="D30" s="13" t="inlineStr">
        <is>
          <t>0.1.0</t>
        </is>
      </c>
      <c r="E30" s="13" t="inlineStr">
        <is>
          <t>Santiago Maya Horta</t>
        </is>
      </c>
      <c r="F30" s="13" t="inlineStr">
        <is>
          <t>2026-09-21</t>
        </is>
      </c>
      <c r="G30" s="2" t="inlineStr">
        <is>
          <t>—</t>
        </is>
      </c>
      <c r="H30" s="13" t="inlineStr">
        <is>
          <t>Implementado</t>
        </is>
      </c>
      <c r="I30" s="13" t="inlineStr">
        <is>
          <t>2026-09-20</t>
        </is>
      </c>
      <c r="J30" s="2" t="inlineStr">
        <is>
          <t>COD-UI, COD-MAIN</t>
        </is>
      </c>
      <c r="K30" s="2" t="inlineStr">
        <is>
          <t>caso3-dietas/src/theme.js</t>
        </is>
      </c>
    </row>
    <row r="31" ht="22" customHeight="1" s="36">
      <c r="A31" s="33" t="inlineStr">
        <is>
          <t>COD-UI</t>
        </is>
      </c>
      <c r="B31" s="34" t="inlineStr">
        <is>
          <t>Código</t>
        </is>
      </c>
      <c r="C31" s="2" t="inlineStr">
        <is>
          <t>Componentes de interfaz reutilizables</t>
        </is>
      </c>
      <c r="D31" s="13" t="inlineStr">
        <is>
          <t>0.1.0</t>
        </is>
      </c>
      <c r="E31" s="13" t="inlineStr">
        <is>
          <t>Santiago Maya Horta</t>
        </is>
      </c>
      <c r="F31" s="13" t="inlineStr">
        <is>
          <t>2026-09-21</t>
        </is>
      </c>
      <c r="G31" s="2" t="inlineStr">
        <is>
          <t>—</t>
        </is>
      </c>
      <c r="H31" s="13" t="inlineStr">
        <is>
          <t>Implementado</t>
        </is>
      </c>
      <c r="I31" s="13" t="inlineStr">
        <is>
          <t>2026-09-20</t>
        </is>
      </c>
      <c r="J31" s="2" t="inlineStr">
        <is>
          <t>COD-THEME</t>
        </is>
      </c>
      <c r="K31" s="2" t="inlineStr">
        <is>
          <t>caso3-dietas/src/ui.jsx</t>
        </is>
      </c>
    </row>
    <row r="32" ht="31" customHeight="1" s="36">
      <c r="A32" s="33" t="inlineStr">
        <is>
          <t>TEST-LOGIC</t>
        </is>
      </c>
      <c r="B32" s="11" t="inlineStr">
        <is>
          <t>Suite de pruebas</t>
        </is>
      </c>
      <c r="C32" s="2" t="inlineStr">
        <is>
          <t>Pruebas automáticas de la lógica y los datos de demostración</t>
        </is>
      </c>
      <c r="D32" s="13" t="inlineStr">
        <is>
          <t>0.1.0</t>
        </is>
      </c>
      <c r="E32" s="13" t="inlineStr">
        <is>
          <t>Santiago Maya Horta</t>
        </is>
      </c>
      <c r="F32" s="13" t="inlineStr">
        <is>
          <t>2026-09-21</t>
        </is>
      </c>
      <c r="G32" s="2" t="inlineStr">
        <is>
          <t>RF-A1, RF-A2, RF-A3, RF-A4</t>
        </is>
      </c>
      <c r="H32" s="13" t="inlineStr">
        <is>
          <t>Implementado</t>
        </is>
      </c>
      <c r="I32" s="13" t="inlineStr">
        <is>
          <t>2026-09-21</t>
        </is>
      </c>
      <c r="J32" s="2" t="inlineStr">
        <is>
          <t>COD-LOGIC, COD-DATA, DOC-VAL</t>
        </is>
      </c>
      <c r="K32" s="2" t="inlineStr">
        <is>
          <t>caso3-dietas/tests/logic.test.js</t>
        </is>
      </c>
    </row>
    <row r="33" ht="31" customHeight="1" s="36">
      <c r="A33" s="33" t="inlineStr">
        <is>
          <t>TC-01</t>
        </is>
      </c>
      <c r="B33" s="11" t="inlineStr">
        <is>
          <t>Caso de prueba</t>
        </is>
      </c>
      <c r="C33" s="2" t="inlineStr">
        <is>
          <t>una dieta con un alimento al que el paciente es alérgico se marca como crítica</t>
        </is>
      </c>
      <c r="D33" s="13" t="inlineStr">
        <is>
          <t>0.1.0</t>
        </is>
      </c>
      <c r="E33" s="13" t="inlineStr">
        <is>
          <t>Santiago Maya Horta</t>
        </is>
      </c>
      <c r="F33" s="13" t="inlineStr">
        <is>
          <t>2026-09-21</t>
        </is>
      </c>
      <c r="G33" s="2" t="inlineStr">
        <is>
          <t>RF-A3</t>
        </is>
      </c>
      <c r="H33" s="13" t="inlineStr">
        <is>
          <t>Implementado</t>
        </is>
      </c>
      <c r="I33" s="13" t="inlineStr">
        <is>
          <t>2026-09-21</t>
        </is>
      </c>
      <c r="J33" s="2" t="inlineStr">
        <is>
          <t>RF-A3, TEST-LOGIC</t>
        </is>
      </c>
      <c r="K33" s="2" t="inlineStr">
        <is>
          <t>caso3-dietas/tests/logic.test.js</t>
        </is>
      </c>
    </row>
    <row r="34" ht="31" customHeight="1" s="36">
      <c r="A34" s="33" t="inlineStr">
        <is>
          <t>TC-02</t>
        </is>
      </c>
      <c r="B34" s="11" t="inlineStr">
        <is>
          <t>Caso de prueba</t>
        </is>
      </c>
      <c r="C34" s="2" t="inlineStr">
        <is>
          <t>una dieta con solo incompatibilidades se marca como advertencia</t>
        </is>
      </c>
      <c r="D34" s="13" t="inlineStr">
        <is>
          <t>0.1.0</t>
        </is>
      </c>
      <c r="E34" s="13" t="inlineStr">
        <is>
          <t>Santiago Maya Horta</t>
        </is>
      </c>
      <c r="F34" s="13" t="inlineStr">
        <is>
          <t>2026-09-21</t>
        </is>
      </c>
      <c r="G34" s="2" t="inlineStr">
        <is>
          <t>RF-A3</t>
        </is>
      </c>
      <c r="H34" s="13" t="inlineStr">
        <is>
          <t>Implementado</t>
        </is>
      </c>
      <c r="I34" s="13" t="inlineStr">
        <is>
          <t>2026-09-21</t>
        </is>
      </c>
      <c r="J34" s="2" t="inlineStr">
        <is>
          <t>RF-A3, TEST-LOGIC</t>
        </is>
      </c>
      <c r="K34" s="2" t="inlineStr">
        <is>
          <t>caso3-dietas/tests/logic.test.js</t>
        </is>
      </c>
    </row>
    <row r="35" ht="31" customHeight="1" s="36">
      <c r="A35" s="33" t="inlineStr">
        <is>
          <t>TC-03</t>
        </is>
      </c>
      <c r="B35" s="11" t="inlineStr">
        <is>
          <t>Caso de prueba</t>
        </is>
      </c>
      <c r="C35" s="2" t="inlineStr">
        <is>
          <t>una dieta sin alimentos en conflicto se marca como segura y no trae alertas</t>
        </is>
      </c>
      <c r="D35" s="13" t="inlineStr">
        <is>
          <t>0.1.0</t>
        </is>
      </c>
      <c r="E35" s="13" t="inlineStr">
        <is>
          <t>Santiago Maya Horta</t>
        </is>
      </c>
      <c r="F35" s="13" t="inlineStr">
        <is>
          <t>2026-09-21</t>
        </is>
      </c>
      <c r="G35" s="2" t="inlineStr">
        <is>
          <t>RF-A3</t>
        </is>
      </c>
      <c r="H35" s="13" t="inlineStr">
        <is>
          <t>Implementado</t>
        </is>
      </c>
      <c r="I35" s="13" t="inlineStr">
        <is>
          <t>2026-09-21</t>
        </is>
      </c>
      <c r="J35" s="2" t="inlineStr">
        <is>
          <t>RF-A3, TEST-LOGIC</t>
        </is>
      </c>
      <c r="K35" s="2" t="inlineStr">
        <is>
          <t>caso3-dietas/tests/logic.test.js</t>
        </is>
      </c>
    </row>
    <row r="36" ht="31" customHeight="1" s="36">
      <c r="A36" s="33" t="inlineStr">
        <is>
          <t>TC-04</t>
        </is>
      </c>
      <c r="B36" s="11" t="inlineStr">
        <is>
          <t>Caso de prueba</t>
        </is>
      </c>
      <c r="C36" s="2" t="inlineStr">
        <is>
          <t>si hay alergia e incompatibilidad a la vez, prevalece el nivel crítico y se listan ambas</t>
        </is>
      </c>
      <c r="D36" s="13" t="inlineStr">
        <is>
          <t>0.1.0</t>
        </is>
      </c>
      <c r="E36" s="13" t="inlineStr">
        <is>
          <t>Santiago Maya Horta</t>
        </is>
      </c>
      <c r="F36" s="13" t="inlineStr">
        <is>
          <t>2026-09-21</t>
        </is>
      </c>
      <c r="G36" s="2" t="inlineStr">
        <is>
          <t>RF-A3</t>
        </is>
      </c>
      <c r="H36" s="13" t="inlineStr">
        <is>
          <t>Implementado</t>
        </is>
      </c>
      <c r="I36" s="13" t="inlineStr">
        <is>
          <t>2026-09-21</t>
        </is>
      </c>
      <c r="J36" s="2" t="inlineStr">
        <is>
          <t>RF-A3, TEST-LOGIC</t>
        </is>
      </c>
      <c r="K36" s="2" t="inlineStr">
        <is>
          <t>caso3-dietas/tests/logic.test.js</t>
        </is>
      </c>
    </row>
    <row r="37" ht="31" customHeight="1" s="36">
      <c r="A37" s="33" t="inlineStr">
        <is>
          <t>TC-05</t>
        </is>
      </c>
      <c r="B37" s="11" t="inlineStr">
        <is>
          <t>Caso de prueba</t>
        </is>
      </c>
      <c r="C37" s="2" t="inlineStr">
        <is>
          <t>un paciente sin alergias ni incompatibilidades no recibe alertas en ninguna dieta</t>
        </is>
      </c>
      <c r="D37" s="13" t="inlineStr">
        <is>
          <t>0.1.0</t>
        </is>
      </c>
      <c r="E37" s="13" t="inlineStr">
        <is>
          <t>Santiago Maya Horta</t>
        </is>
      </c>
      <c r="F37" s="13" t="inlineStr">
        <is>
          <t>2026-09-21</t>
        </is>
      </c>
      <c r="G37" s="2" t="inlineStr">
        <is>
          <t>RF-A3</t>
        </is>
      </c>
      <c r="H37" s="13" t="inlineStr">
        <is>
          <t>Implementado</t>
        </is>
      </c>
      <c r="I37" s="13" t="inlineStr">
        <is>
          <t>2026-09-21</t>
        </is>
      </c>
      <c r="J37" s="2" t="inlineStr">
        <is>
          <t>RF-A3, TEST-LOGIC</t>
        </is>
      </c>
      <c r="K37" s="2" t="inlineStr">
        <is>
          <t>caso3-dietas/tests/logic.test.js</t>
        </is>
      </c>
    </row>
    <row r="38" ht="31" customHeight="1" s="36">
      <c r="A38" s="33" t="inlineStr">
        <is>
          <t>TC-06</t>
        </is>
      </c>
      <c r="B38" s="11" t="inlineStr">
        <is>
          <t>Caso de prueba</t>
        </is>
      </c>
      <c r="C38" s="2" t="inlineStr">
        <is>
          <t>cada enfermedad registrada en un paciente tiene al menos una dieta asociada</t>
        </is>
      </c>
      <c r="D38" s="13" t="inlineStr">
        <is>
          <t>0.1.0</t>
        </is>
      </c>
      <c r="E38" s="13" t="inlineStr">
        <is>
          <t>Santiago Maya Horta</t>
        </is>
      </c>
      <c r="F38" s="13" t="inlineStr">
        <is>
          <t>2026-09-21</t>
        </is>
      </c>
      <c r="G38" s="2" t="inlineStr">
        <is>
          <t>RF-A2</t>
        </is>
      </c>
      <c r="H38" s="13" t="inlineStr">
        <is>
          <t>Implementado</t>
        </is>
      </c>
      <c r="I38" s="13" t="inlineStr">
        <is>
          <t>2026-09-21</t>
        </is>
      </c>
      <c r="J38" s="2" t="inlineStr">
        <is>
          <t>RF-A2, TEST-LOGIC</t>
        </is>
      </c>
      <c r="K38" s="2" t="inlineStr">
        <is>
          <t>caso3-dietas/tests/logic.test.js</t>
        </is>
      </c>
    </row>
    <row r="39" ht="31" customHeight="1" s="36">
      <c r="A39" s="33" t="inlineStr">
        <is>
          <t>TC-07</t>
        </is>
      </c>
      <c r="B39" s="11" t="inlineStr">
        <is>
          <t>Caso de prueba</t>
        </is>
      </c>
      <c r="C39" s="2" t="inlineStr">
        <is>
          <t>María Fernanda ve 3 dietas para diabetes y 2 para hipertensión</t>
        </is>
      </c>
      <c r="D39" s="13" t="inlineStr">
        <is>
          <t>0.1.0</t>
        </is>
      </c>
      <c r="E39" s="13" t="inlineStr">
        <is>
          <t>Santiago Maya Horta</t>
        </is>
      </c>
      <c r="F39" s="13" t="inlineStr">
        <is>
          <t>2026-09-21</t>
        </is>
      </c>
      <c r="G39" s="2" t="inlineStr">
        <is>
          <t>RF-A2</t>
        </is>
      </c>
      <c r="H39" s="13" t="inlineStr">
        <is>
          <t>Implementado</t>
        </is>
      </c>
      <c r="I39" s="13" t="inlineStr">
        <is>
          <t>2026-09-21</t>
        </is>
      </c>
      <c r="J39" s="2" t="inlineStr">
        <is>
          <t>RF-A2, TEST-LOGIC</t>
        </is>
      </c>
      <c r="K39" s="2" t="inlineStr">
        <is>
          <t>caso3-dietas/tests/logic.test.js</t>
        </is>
      </c>
    </row>
    <row r="40" ht="31" customHeight="1" s="36">
      <c r="A40" s="33" t="inlineStr">
        <is>
          <t>TC-08</t>
        </is>
      </c>
      <c r="B40" s="11" t="inlineStr">
        <is>
          <t>Caso de prueba</t>
        </is>
      </c>
      <c r="C40" s="2" t="inlineStr">
        <is>
          <t>toda historia clínica trae los datos que exige el requisito</t>
        </is>
      </c>
      <c r="D40" s="13" t="inlineStr">
        <is>
          <t>0.1.0</t>
        </is>
      </c>
      <c r="E40" s="13" t="inlineStr">
        <is>
          <t>Santiago Maya Horta</t>
        </is>
      </c>
      <c r="F40" s="13" t="inlineStr">
        <is>
          <t>2026-09-21</t>
        </is>
      </c>
      <c r="G40" s="2" t="inlineStr">
        <is>
          <t>RF-A1</t>
        </is>
      </c>
      <c r="H40" s="13" t="inlineStr">
        <is>
          <t>Implementado</t>
        </is>
      </c>
      <c r="I40" s="13" t="inlineStr">
        <is>
          <t>2026-09-21</t>
        </is>
      </c>
      <c r="J40" s="2" t="inlineStr">
        <is>
          <t>RF-A1, TEST-LOGIC</t>
        </is>
      </c>
      <c r="K40" s="2" t="inlineStr">
        <is>
          <t>caso3-dietas/tests/logic.test.js</t>
        </is>
      </c>
    </row>
    <row r="41" ht="31" customHeight="1" s="36">
      <c r="A41" s="33" t="inlineStr">
        <is>
          <t>TC-09</t>
        </is>
      </c>
      <c r="B41" s="11" t="inlineStr">
        <is>
          <t>Caso de prueba</t>
        </is>
      </c>
      <c r="C41" s="2" t="inlineStr">
        <is>
          <t>alergias, incompatibilidades y alimentos usan un vocabulario común de etiquetas</t>
        </is>
      </c>
      <c r="D41" s="13" t="inlineStr">
        <is>
          <t>0.1.0</t>
        </is>
      </c>
      <c r="E41" s="13" t="inlineStr">
        <is>
          <t>Santiago Maya Horta</t>
        </is>
      </c>
      <c r="F41" s="13" t="inlineStr">
        <is>
          <t>2026-09-21</t>
        </is>
      </c>
      <c r="G41" s="2" t="inlineStr">
        <is>
          <t>RF-A3</t>
        </is>
      </c>
      <c r="H41" s="13" t="inlineStr">
        <is>
          <t>Implementado</t>
        </is>
      </c>
      <c r="I41" s="13" t="inlineStr">
        <is>
          <t>2026-09-21</t>
        </is>
      </c>
      <c r="J41" s="2" t="inlineStr">
        <is>
          <t>RF-A3, TEST-LOGIC</t>
        </is>
      </c>
      <c r="K41" s="2" t="inlineStr">
        <is>
          <t>caso3-dietas/tests/logic.test.js</t>
        </is>
      </c>
    </row>
    <row r="42" ht="31" customHeight="1" s="36">
      <c r="A42" s="33" t="inlineStr">
        <is>
          <t>TC-10</t>
        </is>
      </c>
      <c r="B42" s="11" t="inlineStr">
        <is>
          <t>Caso de prueba</t>
        </is>
      </c>
      <c r="C42" s="2" t="inlineStr">
        <is>
          <t>toda dieta trae los diez campos de la ficha técnica</t>
        </is>
      </c>
      <c r="D42" s="13" t="inlineStr">
        <is>
          <t>0.1.0</t>
        </is>
      </c>
      <c r="E42" s="13" t="inlineStr">
        <is>
          <t>Santiago Maya Horta</t>
        </is>
      </c>
      <c r="F42" s="13" t="inlineStr">
        <is>
          <t>2026-09-21</t>
        </is>
      </c>
      <c r="G42" s="2" t="inlineStr">
        <is>
          <t>RF-A4</t>
        </is>
      </c>
      <c r="H42" s="13" t="inlineStr">
        <is>
          <t>Implementado</t>
        </is>
      </c>
      <c r="I42" s="13" t="inlineStr">
        <is>
          <t>2026-09-21</t>
        </is>
      </c>
      <c r="J42" s="2" t="inlineStr">
        <is>
          <t>RF-A4, TEST-LOGIC</t>
        </is>
      </c>
      <c r="K42" s="2" t="inlineStr">
        <is>
          <t>caso3-dietas/tests/logic.test.js</t>
        </is>
      </c>
    </row>
    <row r="43" ht="31" customHeight="1" s="36">
      <c r="A43" s="33" t="inlineStr">
        <is>
          <t>TC-11</t>
        </is>
      </c>
      <c r="B43" s="11" t="inlineStr">
        <is>
          <t>Caso de prueba</t>
        </is>
      </c>
      <c r="C43" s="2" t="inlineStr">
        <is>
          <t>los componentes de cada dieta existen en el catálogo de alimentos</t>
        </is>
      </c>
      <c r="D43" s="13" t="inlineStr">
        <is>
          <t>0.1.0</t>
        </is>
      </c>
      <c r="E43" s="13" t="inlineStr">
        <is>
          <t>Santiago Maya Horta</t>
        </is>
      </c>
      <c r="F43" s="13" t="inlineStr">
        <is>
          <t>2026-09-21</t>
        </is>
      </c>
      <c r="G43" s="2" t="inlineStr">
        <is>
          <t>RF-A3, RF-A4</t>
        </is>
      </c>
      <c r="H43" s="13" t="inlineStr">
        <is>
          <t>Implementado</t>
        </is>
      </c>
      <c r="I43" s="13" t="inlineStr">
        <is>
          <t>2026-09-21</t>
        </is>
      </c>
      <c r="J43" s="2" t="inlineStr">
        <is>
          <t>RF-A3, RF-A4, TEST-LOGIC</t>
        </is>
      </c>
      <c r="K43" s="2" t="inlineStr">
        <is>
          <t>caso3-dietas/tests/logic.test.js</t>
        </is>
      </c>
    </row>
    <row r="44" ht="31" customHeight="1" s="36">
      <c r="A44" s="33" t="inlineStr">
        <is>
          <t>TC-12</t>
        </is>
      </c>
      <c r="B44" s="11" t="inlineStr">
        <is>
          <t>Caso de prueba</t>
        </is>
      </c>
      <c r="C44" s="2" t="inlineStr">
        <is>
          <t>Luisa Fernanda no tiene ninguna dieta libre de alertas para su enfermedad</t>
        </is>
      </c>
      <c r="D44" s="13" t="inlineStr">
        <is>
          <t>0.1.0</t>
        </is>
      </c>
      <c r="E44" s="13" t="inlineStr">
        <is>
          <t>Santiago Maya Horta</t>
        </is>
      </c>
      <c r="F44" s="13" t="inlineStr">
        <is>
          <t>2026-09-21</t>
        </is>
      </c>
      <c r="G44" s="2" t="inlineStr">
        <is>
          <t>RF-A3</t>
        </is>
      </c>
      <c r="H44" s="13" t="inlineStr">
        <is>
          <t>Implementado</t>
        </is>
      </c>
      <c r="I44" s="13" t="inlineStr">
        <is>
          <t>2026-09-21</t>
        </is>
      </c>
      <c r="J44" s="2" t="inlineStr">
        <is>
          <t>RF-A3, TEST-LOGIC</t>
        </is>
      </c>
      <c r="K44" s="2" t="inlineStr">
        <is>
          <t>caso3-dietas/tests/logic.test.js</t>
        </is>
      </c>
    </row>
    <row r="45" ht="22" customHeight="1" s="36">
      <c r="A45" s="33" t="inlineStr">
        <is>
          <t>TC-13</t>
        </is>
      </c>
      <c r="B45" s="11" t="inlineStr">
        <is>
          <t>Caso de prueba</t>
        </is>
      </c>
      <c r="C45" s="2" t="inlineStr">
        <is>
          <t>todas las dietas de Carlos Andrés son seguras</t>
        </is>
      </c>
      <c r="D45" s="13" t="inlineStr">
        <is>
          <t>0.1.0</t>
        </is>
      </c>
      <c r="E45" s="13" t="inlineStr">
        <is>
          <t>Santiago Maya Horta</t>
        </is>
      </c>
      <c r="F45" s="13" t="inlineStr">
        <is>
          <t>2026-09-21</t>
        </is>
      </c>
      <c r="G45" s="2" t="inlineStr">
        <is>
          <t>RF-A3</t>
        </is>
      </c>
      <c r="H45" s="13" t="inlineStr">
        <is>
          <t>Implementado</t>
        </is>
      </c>
      <c r="I45" s="13" t="inlineStr">
        <is>
          <t>2026-09-21</t>
        </is>
      </c>
      <c r="J45" s="2" t="inlineStr">
        <is>
          <t>RF-A3, TEST-LOGIC</t>
        </is>
      </c>
      <c r="K45" s="2" t="inlineStr">
        <is>
          <t>caso3-dietas/tests/logic.test.js</t>
        </is>
      </c>
    </row>
    <row r="46" ht="31" customHeight="1" s="36">
      <c r="A46" s="33" t="inlineStr">
        <is>
          <t>TEST-MANUAL</t>
        </is>
      </c>
      <c r="B46" s="11" t="inlineStr">
        <is>
          <t>Suite de pruebas</t>
        </is>
      </c>
      <c r="C46" s="2" t="inlineStr">
        <is>
          <t>Escenarios de prueba manuales de la interfaz</t>
        </is>
      </c>
      <c r="D46" s="13" t="inlineStr">
        <is>
          <t>0.1.0</t>
        </is>
      </c>
      <c r="E46" s="13" t="inlineStr">
        <is>
          <t>Santiago Maya Horta</t>
        </is>
      </c>
      <c r="F46" s="13" t="inlineStr">
        <is>
          <t>2026-09-21</t>
        </is>
      </c>
      <c r="G46" s="2" t="inlineStr">
        <is>
          <t>—</t>
        </is>
      </c>
      <c r="H46" s="13" t="inlineStr">
        <is>
          <t>En desarrollo</t>
        </is>
      </c>
      <c r="I46" s="13" t="inlineStr">
        <is>
          <t>pendiente</t>
        </is>
      </c>
      <c r="J46" s="2" t="inlineStr">
        <is>
          <t>DOC-VAL, COD-PATIENTVIEW, COD-ASSIGN, COD-DRAWER</t>
        </is>
      </c>
      <c r="K46" s="2" t="inlineStr">
        <is>
          <t>caso3-dietas/tests/escenarios_manuales.md</t>
        </is>
      </c>
    </row>
    <row r="47" ht="31" customHeight="1" s="36">
      <c r="A47" s="33" t="inlineStr">
        <is>
          <t>TC-M1</t>
        </is>
      </c>
      <c r="B47" s="11" t="inlineStr">
        <is>
          <t>Caso de prueba</t>
        </is>
      </c>
      <c r="C47" s="2" t="inlineStr">
        <is>
          <t>Ingresar, abrir a María Fernanda Ospina y ver las dietas de diabetes</t>
        </is>
      </c>
      <c r="D47" s="13" t="inlineStr">
        <is>
          <t>0.1.0</t>
        </is>
      </c>
      <c r="E47" s="13" t="inlineStr">
        <is>
          <t>Santiago Maya Horta</t>
        </is>
      </c>
      <c r="F47" s="13" t="inlineStr">
        <is>
          <t>2026-09-21</t>
        </is>
      </c>
      <c r="G47" s="2" t="inlineStr">
        <is>
          <t>RF-A1, RF-A2</t>
        </is>
      </c>
      <c r="H47" s="13" t="inlineStr">
        <is>
          <t>En desarrollo</t>
        </is>
      </c>
      <c r="I47" s="13" t="inlineStr">
        <is>
          <t>pendiente</t>
        </is>
      </c>
      <c r="J47" s="2" t="inlineStr">
        <is>
          <t>RF-A1, RF-A2, TEST-MANUAL</t>
        </is>
      </c>
      <c r="K47" s="2" t="inlineStr">
        <is>
          <t>caso3-dietas/tests/escenarios_manuales.md</t>
        </is>
      </c>
    </row>
    <row r="48" ht="31" customHeight="1" s="36">
      <c r="A48" s="33" t="inlineStr">
        <is>
          <t>TC-M2</t>
        </is>
      </c>
      <c r="B48" s="11" t="inlineStr">
        <is>
          <t>Caso de prueba</t>
        </is>
      </c>
      <c r="C48" s="2" t="inlineStr">
        <is>
          <t>Con María Fernanda, intentar asignar «Dieta de control glucémico con lácteos»</t>
        </is>
      </c>
      <c r="D48" s="13" t="inlineStr">
        <is>
          <t>0.1.0</t>
        </is>
      </c>
      <c r="E48" s="13" t="inlineStr">
        <is>
          <t>Santiago Maya Horta</t>
        </is>
      </c>
      <c r="F48" s="13" t="inlineStr">
        <is>
          <t>2026-09-21</t>
        </is>
      </c>
      <c r="G48" s="2" t="inlineStr">
        <is>
          <t>RF-A3</t>
        </is>
      </c>
      <c r="H48" s="13" t="inlineStr">
        <is>
          <t>En desarrollo</t>
        </is>
      </c>
      <c r="I48" s="13" t="inlineStr">
        <is>
          <t>pendiente</t>
        </is>
      </c>
      <c r="J48" s="2" t="inlineStr">
        <is>
          <t>RF-A3, TEST-MANUAL</t>
        </is>
      </c>
      <c r="K48" s="2" t="inlineStr">
        <is>
          <t>caso3-dietas/tests/escenarios_manuales.md</t>
        </is>
      </c>
    </row>
    <row r="49" ht="31" customHeight="1" s="36">
      <c r="A49" s="33" t="inlineStr">
        <is>
          <t>TC-M3</t>
        </is>
      </c>
      <c r="B49" s="11" t="inlineStr">
        <is>
          <t>Caso de prueba</t>
        </is>
      </c>
      <c r="C49" s="2" t="inlineStr">
        <is>
          <t>Abrir «Ver ficha técnica» de una dieta</t>
        </is>
      </c>
      <c r="D49" s="13" t="inlineStr">
        <is>
          <t>0.1.0</t>
        </is>
      </c>
      <c r="E49" s="13" t="inlineStr">
        <is>
          <t>Santiago Maya Horta</t>
        </is>
      </c>
      <c r="F49" s="13" t="inlineStr">
        <is>
          <t>2026-09-21</t>
        </is>
      </c>
      <c r="G49" s="2" t="inlineStr">
        <is>
          <t>RF-A4</t>
        </is>
      </c>
      <c r="H49" s="13" t="inlineStr">
        <is>
          <t>En desarrollo</t>
        </is>
      </c>
      <c r="I49" s="13" t="inlineStr">
        <is>
          <t>pendiente</t>
        </is>
      </c>
      <c r="J49" s="2" t="inlineStr">
        <is>
          <t>RF-A4, TEST-MANUAL</t>
        </is>
      </c>
      <c r="K49" s="2" t="inlineStr">
        <is>
          <t>caso3-dietas/tests/escenarios_manuales.md</t>
        </is>
      </c>
    </row>
    <row r="50" ht="56" customHeight="1" s="36">
      <c r="A50" s="33" t="inlineStr">
        <is>
          <t>TC-M4</t>
        </is>
      </c>
      <c r="B50" s="11" t="inlineStr">
        <is>
          <t>Caso de prueba</t>
        </is>
      </c>
      <c r="C50" s="2" t="inlineStr">
        <is>
          <t>Prueba con usuarios (sección 5 del documento de validación): 3 a 5 personas que no hayan visto la app asignan una dieta segura a María Fernanda con diabetes, sin ayuda</t>
        </is>
      </c>
      <c r="D50" s="13" t="inlineStr">
        <is>
          <t>0.1.0</t>
        </is>
      </c>
      <c r="E50" s="13" t="inlineStr">
        <is>
          <t>Santiago Maya Horta</t>
        </is>
      </c>
      <c r="F50" s="13" t="inlineStr">
        <is>
          <t>2026-09-21</t>
        </is>
      </c>
      <c r="G50" s="2" t="inlineStr">
        <is>
          <t>RF-A5, RNF-1</t>
        </is>
      </c>
      <c r="H50" s="13" t="inlineStr">
        <is>
          <t>En desarrollo</t>
        </is>
      </c>
      <c r="I50" s="13" t="inlineStr">
        <is>
          <t>pendiente</t>
        </is>
      </c>
      <c r="J50" s="2" t="inlineStr">
        <is>
          <t>RF-A5, RNF-1, TEST-MANUAL</t>
        </is>
      </c>
      <c r="K50" s="2" t="inlineStr">
        <is>
          <t>caso3-dietas/tests/escenarios_manuales.md</t>
        </is>
      </c>
    </row>
    <row r="51" ht="43.5" customHeight="1" s="36">
      <c r="A51" s="33" t="inlineStr">
        <is>
          <t>TC-M5</t>
        </is>
      </c>
      <c r="B51" s="11" t="inlineStr">
        <is>
          <t>Caso de prueba</t>
        </is>
      </c>
      <c r="C51" s="2" t="inlineStr">
        <is>
          <t>Asignar «Dieta de bajo índice glucémico» a María Fernanda y abrir la pestaña «Historia clínica»</t>
        </is>
      </c>
      <c r="D51" s="13" t="inlineStr">
        <is>
          <t>0.1.0</t>
        </is>
      </c>
      <c r="E51" s="13" t="inlineStr">
        <is>
          <t>Santiago Maya Horta</t>
        </is>
      </c>
      <c r="F51" s="13" t="inlineStr">
        <is>
          <t>2026-09-21</t>
        </is>
      </c>
      <c r="G51" s="2" t="inlineStr">
        <is>
          <t>RF-A5</t>
        </is>
      </c>
      <c r="H51" s="13" t="inlineStr">
        <is>
          <t>En desarrollo</t>
        </is>
      </c>
      <c r="I51" s="13" t="inlineStr">
        <is>
          <t>pendiente</t>
        </is>
      </c>
      <c r="J51" s="2" t="inlineStr">
        <is>
          <t>RF-A5, TEST-MANUAL</t>
        </is>
      </c>
      <c r="K51" s="2" t="inlineStr">
        <is>
          <t>caso3-dietas/tests/escenarios_manuales.md</t>
        </is>
      </c>
    </row>
    <row r="52" ht="31" customHeight="1" s="36">
      <c r="A52" s="33" t="inlineStr">
        <is>
          <t>TOOL-MATRIZ</t>
        </is>
      </c>
      <c r="B52" s="35" t="inlineStr">
        <is>
          <t>Script</t>
        </is>
      </c>
      <c r="C52" s="2" t="inlineStr">
        <is>
          <t>Generador de la matriz de trazabilidad (caso Dietas al día)</t>
        </is>
      </c>
      <c r="D52" s="13" t="inlineStr">
        <is>
          <t>0.1.0</t>
        </is>
      </c>
      <c r="E52" s="13" t="inlineStr">
        <is>
          <t>Santiago Maya Horta</t>
        </is>
      </c>
      <c r="F52" s="13" t="inlineStr">
        <is>
          <t>2026-09-21</t>
        </is>
      </c>
      <c r="G52" s="2" t="inlineStr">
        <is>
          <t>—</t>
        </is>
      </c>
      <c r="H52" s="13" t="inlineStr">
        <is>
          <t>Implementado</t>
        </is>
      </c>
      <c r="I52" s="13" t="inlineStr">
        <is>
          <t>2026-09-21</t>
        </is>
      </c>
      <c r="J52" s="2" t="inlineStr">
        <is>
          <t>DOC-VAL, TEST-LOGIC, TEST-MANUAL, COD-ABOUT</t>
        </is>
      </c>
      <c r="K52" s="2" t="inlineStr">
        <is>
          <t>trazabilidad/generar_matriz.py</t>
        </is>
      </c>
    </row>
    <row r="53"/>
    <row r="54"/>
    <row r="55"/>
    <row r="56"/>
    <row r="57"/>
    <row r="58"/>
    <row r="59"/>
    <row r="60"/>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2026-06-17T01:22:24Z</dcterms:created>
  <dcterms:modified xsi:type="dcterms:W3CDTF">2026-09-21T20:41:29Z</dcterms:modified>
  <cp:lastModifiedBy>Maria Camila Arroyave Corrales</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0x0101006127783753953547B7FC3082537267E2</vt:lpwstr>
  </property>
  <property name="MediaServiceImageTags" fmtid="{D5CDD505-2E9C-101B-9397-08002B2CF9AE}" pid="3">
    <vt:lpwstr/>
  </property>
</Properties>
</file>